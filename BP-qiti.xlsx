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吸附能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<sst xmlns="http://schemas.openxmlformats.org/spreadsheetml/2006/main" count="226" uniqueCount="57">
  <si>
    <t>Gas type</t>
  </si>
  <si>
    <t>Site</t>
  </si>
  <si>
    <r>
      <rPr>
        <sz val="11"/>
        <color theme="1"/>
        <rFont val="Times New Roman"/>
        <charset val="134"/>
      </rPr>
      <t>E</t>
    </r>
    <r>
      <rPr>
        <vertAlign val="subscript"/>
        <sz val="11"/>
        <color theme="1"/>
        <rFont val="Times New Roman"/>
        <charset val="134"/>
      </rPr>
      <t>ads</t>
    </r>
  </si>
  <si>
    <t>d</t>
  </si>
  <si>
    <r>
      <rPr>
        <sz val="11"/>
        <color theme="1"/>
        <rFont val="微软雅黑"/>
        <charset val="134"/>
      </rPr>
      <t>∆</t>
    </r>
    <r>
      <rPr>
        <sz val="11"/>
        <color theme="1"/>
        <rFont val="Times New Roman"/>
        <charset val="134"/>
      </rPr>
      <t>Q</t>
    </r>
  </si>
  <si>
    <r>
      <rPr>
        <sz val="11"/>
        <color theme="1"/>
        <rFont val="Times New Roman"/>
        <charset val="134"/>
      </rPr>
      <t>ℇ</t>
    </r>
    <r>
      <rPr>
        <vertAlign val="subscript"/>
        <sz val="11"/>
        <color theme="1"/>
        <rFont val="Times New Roman"/>
        <charset val="134"/>
      </rPr>
      <t>p</t>
    </r>
  </si>
  <si>
    <t>VBM</t>
  </si>
  <si>
    <t>CBM</t>
  </si>
  <si>
    <r>
      <rPr>
        <sz val="11"/>
        <color theme="1"/>
        <rFont val="Times New Roman"/>
        <charset val="134"/>
      </rPr>
      <t>E</t>
    </r>
    <r>
      <rPr>
        <vertAlign val="subscript"/>
        <sz val="11"/>
        <color theme="1"/>
        <rFont val="Times New Roman"/>
        <charset val="134"/>
      </rPr>
      <t>f</t>
    </r>
  </si>
  <si>
    <t>Eg</t>
  </si>
  <si>
    <r>
      <rPr>
        <sz val="11"/>
        <color theme="1"/>
        <rFont val="Times New Roman"/>
        <charset val="134"/>
      </rPr>
      <t>W</t>
    </r>
    <r>
      <rPr>
        <vertAlign val="subscript"/>
        <sz val="11"/>
        <color theme="1"/>
        <rFont val="Times New Roman"/>
        <charset val="134"/>
      </rPr>
      <t>F</t>
    </r>
  </si>
  <si>
    <t>Response</t>
  </si>
  <si>
    <r>
      <rPr>
        <sz val="11"/>
        <color theme="8"/>
        <rFont val="Times New Roman"/>
        <charset val="134"/>
      </rPr>
      <t>NO</t>
    </r>
    <r>
      <rPr>
        <vertAlign val="subscript"/>
        <sz val="11"/>
        <color theme="8"/>
        <rFont val="Times New Roman"/>
        <charset val="134"/>
      </rPr>
      <t>2</t>
    </r>
  </si>
  <si>
    <t>H</t>
  </si>
  <si>
    <t>T</t>
  </si>
  <si>
    <t>B</t>
  </si>
  <si>
    <r>
      <rPr>
        <sz val="11"/>
        <color theme="8"/>
        <rFont val="Times New Roman"/>
        <charset val="134"/>
      </rPr>
      <t>N</t>
    </r>
    <r>
      <rPr>
        <vertAlign val="subscript"/>
        <sz val="11"/>
        <color theme="8"/>
        <rFont val="Times New Roman"/>
        <charset val="134"/>
      </rPr>
      <t>2</t>
    </r>
  </si>
  <si>
    <t>NO</t>
  </si>
  <si>
    <r>
      <rPr>
        <sz val="11"/>
        <color theme="8"/>
        <rFont val="Times New Roman"/>
        <charset val="134"/>
      </rPr>
      <t>H</t>
    </r>
    <r>
      <rPr>
        <vertAlign val="subscript"/>
        <sz val="11"/>
        <color theme="8"/>
        <rFont val="Times New Roman"/>
        <charset val="134"/>
      </rPr>
      <t>2</t>
    </r>
  </si>
  <si>
    <t>CO</t>
  </si>
  <si>
    <r>
      <rPr>
        <sz val="11"/>
        <color theme="8"/>
        <rFont val="Times New Roman"/>
        <charset val="134"/>
      </rPr>
      <t>NH</t>
    </r>
    <r>
      <rPr>
        <vertAlign val="subscript"/>
        <sz val="11"/>
        <color theme="8"/>
        <rFont val="Times New Roman"/>
        <charset val="134"/>
      </rPr>
      <t>3</t>
    </r>
  </si>
  <si>
    <r>
      <rPr>
        <sz val="11"/>
        <color theme="8"/>
        <rFont val="Times New Roman"/>
        <charset val="134"/>
      </rPr>
      <t>CH</t>
    </r>
    <r>
      <rPr>
        <vertAlign val="subscript"/>
        <sz val="11"/>
        <color theme="8"/>
        <rFont val="Times New Roman"/>
        <charset val="134"/>
      </rPr>
      <t>3</t>
    </r>
    <r>
      <rPr>
        <sz val="11"/>
        <color theme="8"/>
        <rFont val="Times New Roman"/>
        <charset val="134"/>
      </rPr>
      <t>CH</t>
    </r>
    <r>
      <rPr>
        <vertAlign val="subscript"/>
        <sz val="11"/>
        <color theme="8"/>
        <rFont val="Times New Roman"/>
        <charset val="134"/>
      </rPr>
      <t>2</t>
    </r>
    <r>
      <rPr>
        <sz val="11"/>
        <color theme="8"/>
        <rFont val="Times New Roman"/>
        <charset val="134"/>
      </rPr>
      <t>COH</t>
    </r>
  </si>
  <si>
    <r>
      <rPr>
        <sz val="11"/>
        <color theme="8"/>
        <rFont val="Times New Roman"/>
        <charset val="134"/>
      </rPr>
      <t>C</t>
    </r>
    <r>
      <rPr>
        <vertAlign val="subscript"/>
        <sz val="11"/>
        <color theme="8"/>
        <rFont val="Times New Roman"/>
        <charset val="134"/>
      </rPr>
      <t>3</t>
    </r>
    <r>
      <rPr>
        <sz val="11"/>
        <color theme="8"/>
        <rFont val="Times New Roman"/>
        <charset val="134"/>
      </rPr>
      <t>H</t>
    </r>
    <r>
      <rPr>
        <vertAlign val="subscript"/>
        <sz val="11"/>
        <color theme="8"/>
        <rFont val="Times New Roman"/>
        <charset val="134"/>
      </rPr>
      <t>9</t>
    </r>
    <r>
      <rPr>
        <sz val="11"/>
        <color theme="8"/>
        <rFont val="Times New Roman"/>
        <charset val="134"/>
      </rPr>
      <t>O</t>
    </r>
    <r>
      <rPr>
        <vertAlign val="subscript"/>
        <sz val="11"/>
        <color theme="8"/>
        <rFont val="Times New Roman"/>
        <charset val="134"/>
      </rPr>
      <t>3</t>
    </r>
    <r>
      <rPr>
        <sz val="11"/>
        <color theme="8"/>
        <rFont val="Times New Roman"/>
        <charset val="134"/>
      </rPr>
      <t>P</t>
    </r>
  </si>
  <si>
    <r>
      <rPr>
        <sz val="11"/>
        <color theme="8"/>
        <rFont val="Times New Roman"/>
        <charset val="134"/>
      </rPr>
      <t>C</t>
    </r>
    <r>
      <rPr>
        <vertAlign val="subscript"/>
        <sz val="11"/>
        <color theme="8"/>
        <rFont val="Times New Roman"/>
        <charset val="134"/>
      </rPr>
      <t>6</t>
    </r>
    <r>
      <rPr>
        <sz val="11"/>
        <color theme="8"/>
        <rFont val="Times New Roman"/>
        <charset val="134"/>
      </rPr>
      <t>H</t>
    </r>
    <r>
      <rPr>
        <vertAlign val="subscript"/>
        <sz val="11"/>
        <color theme="8"/>
        <rFont val="Times New Roman"/>
        <charset val="134"/>
      </rPr>
      <t>6</t>
    </r>
  </si>
  <si>
    <r>
      <rPr>
        <sz val="11"/>
        <color theme="8"/>
        <rFont val="Times New Roman"/>
        <charset val="134"/>
      </rPr>
      <t>CH</t>
    </r>
    <r>
      <rPr>
        <vertAlign val="subscript"/>
        <sz val="11"/>
        <color theme="8"/>
        <rFont val="Times New Roman"/>
        <charset val="134"/>
      </rPr>
      <t>3</t>
    </r>
    <r>
      <rPr>
        <sz val="11"/>
        <color theme="8"/>
        <rFont val="Times New Roman"/>
        <charset val="134"/>
      </rPr>
      <t>OH</t>
    </r>
  </si>
  <si>
    <r>
      <rPr>
        <sz val="11"/>
        <color theme="8"/>
        <rFont val="Times New Roman"/>
        <charset val="134"/>
      </rPr>
      <t>C</t>
    </r>
    <r>
      <rPr>
        <vertAlign val="subscript"/>
        <sz val="11"/>
        <color theme="8"/>
        <rFont val="Times New Roman"/>
        <charset val="134"/>
      </rPr>
      <t>7</t>
    </r>
    <r>
      <rPr>
        <sz val="11"/>
        <color theme="8"/>
        <rFont val="Times New Roman"/>
        <charset val="134"/>
      </rPr>
      <t>H</t>
    </r>
    <r>
      <rPr>
        <vertAlign val="subscript"/>
        <sz val="11"/>
        <color theme="8"/>
        <rFont val="Times New Roman"/>
        <charset val="134"/>
      </rPr>
      <t>8</t>
    </r>
  </si>
  <si>
    <r>
      <rPr>
        <sz val="11"/>
        <color theme="8"/>
        <rFont val="Times New Roman"/>
        <charset val="134"/>
      </rPr>
      <t>CH</t>
    </r>
    <r>
      <rPr>
        <vertAlign val="subscript"/>
        <sz val="11"/>
        <color theme="8"/>
        <rFont val="Times New Roman"/>
        <charset val="134"/>
      </rPr>
      <t>3</t>
    </r>
    <r>
      <rPr>
        <sz val="11"/>
        <color theme="8"/>
        <rFont val="Times New Roman"/>
        <charset val="134"/>
      </rPr>
      <t>COH</t>
    </r>
  </si>
  <si>
    <r>
      <rPr>
        <sz val="11"/>
        <color theme="8"/>
        <rFont val="Times New Roman"/>
        <charset val="134"/>
      </rPr>
      <t>C</t>
    </r>
    <r>
      <rPr>
        <vertAlign val="subscript"/>
        <sz val="11"/>
        <color theme="8"/>
        <rFont val="Times New Roman"/>
        <charset val="134"/>
      </rPr>
      <t>3</t>
    </r>
    <r>
      <rPr>
        <sz val="11"/>
        <color theme="8"/>
        <rFont val="Times New Roman"/>
        <charset val="134"/>
      </rPr>
      <t>H</t>
    </r>
    <r>
      <rPr>
        <vertAlign val="subscript"/>
        <sz val="11"/>
        <color theme="8"/>
        <rFont val="Times New Roman"/>
        <charset val="134"/>
      </rPr>
      <t>9</t>
    </r>
    <r>
      <rPr>
        <sz val="11"/>
        <color theme="8"/>
        <rFont val="Times New Roman"/>
        <charset val="134"/>
      </rPr>
      <t>N</t>
    </r>
  </si>
  <si>
    <r>
      <rPr>
        <sz val="11"/>
        <color theme="8"/>
        <rFont val="Times New Roman"/>
        <charset val="134"/>
      </rPr>
      <t>CCl</t>
    </r>
    <r>
      <rPr>
        <vertAlign val="subscript"/>
        <sz val="11"/>
        <color theme="8"/>
        <rFont val="Times New Roman"/>
        <charset val="134"/>
      </rPr>
      <t>3</t>
    </r>
    <r>
      <rPr>
        <sz val="11"/>
        <color theme="8"/>
        <rFont val="Times New Roman"/>
        <charset val="134"/>
      </rPr>
      <t>H</t>
    </r>
  </si>
  <si>
    <r>
      <rPr>
        <sz val="11"/>
        <color theme="8"/>
        <rFont val="Times New Roman"/>
        <charset val="134"/>
      </rPr>
      <t>CCl</t>
    </r>
    <r>
      <rPr>
        <vertAlign val="subscript"/>
        <sz val="11"/>
        <color theme="8"/>
        <rFont val="Times New Roman"/>
        <charset val="134"/>
      </rPr>
      <t>2</t>
    </r>
    <r>
      <rPr>
        <sz val="11"/>
        <color theme="8"/>
        <rFont val="Times New Roman"/>
        <charset val="134"/>
      </rPr>
      <t>H</t>
    </r>
    <r>
      <rPr>
        <vertAlign val="subscript"/>
        <sz val="11"/>
        <color theme="8"/>
        <rFont val="Times New Roman"/>
        <charset val="134"/>
      </rPr>
      <t>2</t>
    </r>
  </si>
  <si>
    <r>
      <rPr>
        <sz val="11"/>
        <color theme="8"/>
        <rFont val="Times New Roman"/>
        <charset val="134"/>
      </rPr>
      <t>CH</t>
    </r>
    <r>
      <rPr>
        <vertAlign val="subscript"/>
        <sz val="11"/>
        <color theme="8"/>
        <rFont val="Times New Roman"/>
        <charset val="134"/>
      </rPr>
      <t>3</t>
    </r>
    <r>
      <rPr>
        <sz val="11"/>
        <color theme="8"/>
        <rFont val="Times New Roman"/>
        <charset val="134"/>
      </rPr>
      <t>CHOHCH</t>
    </r>
    <r>
      <rPr>
        <vertAlign val="subscript"/>
        <sz val="11"/>
        <color theme="8"/>
        <rFont val="Times New Roman"/>
        <charset val="134"/>
      </rPr>
      <t>3</t>
    </r>
  </si>
  <si>
    <r>
      <rPr>
        <sz val="11"/>
        <color theme="8"/>
        <rFont val="Times New Roman"/>
        <charset val="134"/>
      </rPr>
      <t>CO</t>
    </r>
    <r>
      <rPr>
        <vertAlign val="subscript"/>
        <sz val="11"/>
        <color theme="8"/>
        <rFont val="Times New Roman"/>
        <charset val="134"/>
      </rPr>
      <t>2</t>
    </r>
  </si>
  <si>
    <r>
      <rPr>
        <sz val="11"/>
        <color theme="8"/>
        <rFont val="Times New Roman"/>
        <charset val="134"/>
      </rPr>
      <t>H</t>
    </r>
    <r>
      <rPr>
        <vertAlign val="subscript"/>
        <sz val="11"/>
        <color theme="8"/>
        <rFont val="Times New Roman"/>
        <charset val="134"/>
      </rPr>
      <t>2</t>
    </r>
    <r>
      <rPr>
        <sz val="11"/>
        <color theme="8"/>
        <rFont val="Times New Roman"/>
        <charset val="134"/>
      </rPr>
      <t>O</t>
    </r>
  </si>
  <si>
    <r>
      <rPr>
        <sz val="11"/>
        <color theme="8"/>
        <rFont val="Times New Roman"/>
        <charset val="134"/>
      </rPr>
      <t>H</t>
    </r>
    <r>
      <rPr>
        <vertAlign val="subscript"/>
        <sz val="11"/>
        <color theme="8"/>
        <rFont val="Times New Roman"/>
        <charset val="134"/>
      </rPr>
      <t>2</t>
    </r>
    <r>
      <rPr>
        <sz val="11"/>
        <color theme="8"/>
        <rFont val="Times New Roman"/>
        <charset val="134"/>
      </rPr>
      <t>S</t>
    </r>
  </si>
  <si>
    <r>
      <rPr>
        <sz val="11"/>
        <color theme="8"/>
        <rFont val="Times New Roman"/>
        <charset val="134"/>
      </rPr>
      <t>CH</t>
    </r>
    <r>
      <rPr>
        <vertAlign val="subscript"/>
        <sz val="11"/>
        <color theme="8"/>
        <rFont val="Times New Roman"/>
        <charset val="134"/>
      </rPr>
      <t>3</t>
    </r>
    <r>
      <rPr>
        <sz val="11"/>
        <color theme="8"/>
        <rFont val="Times New Roman"/>
        <charset val="134"/>
      </rPr>
      <t>COCH</t>
    </r>
    <r>
      <rPr>
        <vertAlign val="subscript"/>
        <sz val="11"/>
        <color theme="8"/>
        <rFont val="Times New Roman"/>
        <charset val="134"/>
      </rPr>
      <t>3</t>
    </r>
  </si>
  <si>
    <r>
      <rPr>
        <sz val="11"/>
        <color theme="8"/>
        <rFont val="Times New Roman"/>
        <charset val="134"/>
      </rPr>
      <t>CH</t>
    </r>
    <r>
      <rPr>
        <vertAlign val="subscript"/>
        <sz val="11"/>
        <color theme="8"/>
        <rFont val="Times New Roman"/>
        <charset val="134"/>
      </rPr>
      <t>3</t>
    </r>
    <r>
      <rPr>
        <sz val="11"/>
        <color theme="8"/>
        <rFont val="Times New Roman"/>
        <charset val="134"/>
      </rPr>
      <t>CH</t>
    </r>
    <r>
      <rPr>
        <vertAlign val="subscript"/>
        <sz val="11"/>
        <color theme="8"/>
        <rFont val="Times New Roman"/>
        <charset val="134"/>
      </rPr>
      <t>2</t>
    </r>
    <r>
      <rPr>
        <sz val="11"/>
        <color theme="8"/>
        <rFont val="Times New Roman"/>
        <charset val="134"/>
      </rPr>
      <t>OH</t>
    </r>
  </si>
  <si>
    <t>BP</t>
  </si>
  <si>
    <t>GAS</t>
  </si>
  <si>
    <r>
      <rPr>
        <sz val="11"/>
        <color theme="1"/>
        <rFont val="Times New Roman"/>
        <charset val="134"/>
      </rPr>
      <t>NO</t>
    </r>
    <r>
      <rPr>
        <vertAlign val="subscript"/>
        <sz val="11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</si>
  <si>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N</t>
    </r>
    <r>
      <rPr>
        <vertAlign val="subscript"/>
        <sz val="11"/>
        <color theme="1"/>
        <rFont val="Times New Roman"/>
        <charset val="134"/>
      </rPr>
      <t>2</t>
    </r>
  </si>
  <si>
    <t>H2</t>
  </si>
  <si>
    <t>NH3</t>
  </si>
  <si>
    <t>CH3CH2COH</t>
  </si>
  <si>
    <t>C3O3PH9</t>
  </si>
  <si>
    <t>C6H6</t>
  </si>
  <si>
    <t>CH3OH</t>
  </si>
  <si>
    <t>C7H8</t>
  </si>
  <si>
    <t>CH3COH</t>
  </si>
  <si>
    <t>NCH3CH3CH3</t>
  </si>
  <si>
    <t>CCl3H</t>
  </si>
  <si>
    <t>CCl2H2</t>
  </si>
  <si>
    <t>CH3CHOHCH3</t>
  </si>
  <si>
    <t>CO2</t>
  </si>
  <si>
    <t>H2O</t>
  </si>
  <si>
    <t>H2S</t>
  </si>
  <si>
    <t>CH3COCH3</t>
  </si>
  <si>
    <t>CH3CH2OH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</si>
</sst>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 "/>
    <numFmt numFmtId="177" formatCode="0.000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微软雅黑"/>
      <charset val="134"/>
    </font>
    <font>
      <sz val="11"/>
      <color theme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Times New Roman"/>
      <charset val="134"/>
    </font>
    <font>
      <vertAlign val="subscript"/>
      <sz val="11"/>
      <color theme="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177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"/>
  <sheetViews>
    <sheetView tabSelected="1" zoomScale="110" zoomScaleNormal="110" workbookViewId="0">
      <selection activeCell="J35" sqref="J35:J64"/>
    </sheetView>
  </sheetViews>
  <sheetFormatPr defaultColWidth="9" defaultRowHeight="15"/>
  <cols>
    <col min="1" max="1" width="13.625" style="1" customWidth="1"/>
    <col min="2" max="2" width="9" style="1"/>
    <col min="3" max="3" width="12.625" style="1" customWidth="1"/>
    <col min="4" max="4" width="9" style="1"/>
    <col min="5" max="5" width="10.125" style="1"/>
    <col min="6" max="9" width="9" style="1"/>
    <col min="10" max="10" width="7.5" style="1" customWidth="1"/>
    <col min="11" max="11" width="8.5" style="1" customWidth="1"/>
    <col min="12" max="16384" width="9" style="1"/>
  </cols>
  <sheetData>
    <row r="1" ht="18.75" spans="1:1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8.75" spans="1:12">
      <c r="A2" s="5" t="s">
        <v>12</v>
      </c>
      <c r="B2" s="1" t="s">
        <v>13</v>
      </c>
      <c r="C2" s="1">
        <v>-0.209690520000052</v>
      </c>
      <c r="D2" s="1">
        <v>2.8259</v>
      </c>
      <c r="E2" s="1">
        <v>0.2271</v>
      </c>
      <c r="F2" s="1">
        <v>-0.99</v>
      </c>
      <c r="G2" s="1">
        <v>-2.7981</v>
      </c>
      <c r="H2" s="1">
        <v>-2.7405</v>
      </c>
      <c r="I2" s="1">
        <v>-2.7726</v>
      </c>
      <c r="J2" s="1">
        <v>0.0576</v>
      </c>
      <c r="K2" s="1">
        <v>5.108</v>
      </c>
      <c r="L2" s="1">
        <v>1</v>
      </c>
    </row>
    <row r="3" ht="18.75" spans="1:12">
      <c r="A3" s="5" t="s">
        <v>12</v>
      </c>
      <c r="B3" s="1" t="s">
        <v>14</v>
      </c>
      <c r="C3" s="1">
        <v>-0.239538050000036</v>
      </c>
      <c r="D3" s="1">
        <v>2.6559</v>
      </c>
      <c r="E3" s="1">
        <v>0.2556</v>
      </c>
      <c r="F3" s="1">
        <v>-0.999</v>
      </c>
      <c r="G3" s="1">
        <v>-2.7999</v>
      </c>
      <c r="H3" s="1">
        <v>-2.7136</v>
      </c>
      <c r="I3" s="1">
        <v>-2.7638</v>
      </c>
      <c r="J3" s="1">
        <v>0.0863</v>
      </c>
      <c r="K3" s="1">
        <v>5.101</v>
      </c>
      <c r="L3" s="1">
        <v>1</v>
      </c>
    </row>
    <row r="4" ht="18.75" spans="1:12">
      <c r="A4" s="5" t="s">
        <v>12</v>
      </c>
      <c r="B4" s="1" t="s">
        <v>15</v>
      </c>
      <c r="C4" s="1">
        <v>-0.301239010000032</v>
      </c>
      <c r="D4" s="1">
        <v>2.6951</v>
      </c>
      <c r="E4" s="1">
        <v>0.2808</v>
      </c>
      <c r="F4" s="1">
        <v>-0.994</v>
      </c>
      <c r="G4" s="1">
        <v>-2.8044</v>
      </c>
      <c r="H4" s="1">
        <v>-2.7204</v>
      </c>
      <c r="I4" s="1">
        <v>-2.7713</v>
      </c>
      <c r="J4" s="1">
        <v>0.084</v>
      </c>
      <c r="K4" s="1">
        <v>5.117</v>
      </c>
      <c r="L4" s="1">
        <v>1</v>
      </c>
    </row>
    <row r="5" ht="18.75" spans="1:12">
      <c r="A5" s="5" t="s">
        <v>16</v>
      </c>
      <c r="B5" s="1" t="s">
        <v>13</v>
      </c>
      <c r="C5" s="1">
        <v>0.00680813999995067</v>
      </c>
      <c r="D5" s="1">
        <v>3.4695</v>
      </c>
      <c r="E5" s="1">
        <v>-0.0023</v>
      </c>
      <c r="F5" s="1">
        <v>-2.463</v>
      </c>
      <c r="G5" s="1">
        <v>-2.7462</v>
      </c>
      <c r="H5" s="1">
        <v>-1.8965</v>
      </c>
      <c r="I5" s="1">
        <v>-2.5231</v>
      </c>
      <c r="J5" s="1">
        <v>0.8497</v>
      </c>
      <c r="K5" s="1">
        <v>4.773</v>
      </c>
      <c r="L5" s="1">
        <v>0</v>
      </c>
    </row>
    <row r="6" ht="18.75" spans="1:12">
      <c r="A6" s="5" t="s">
        <v>16</v>
      </c>
      <c r="B6" s="1" t="s">
        <v>14</v>
      </c>
      <c r="C6" s="1">
        <v>0.00183836999994824</v>
      </c>
      <c r="D6" s="1">
        <v>3.6314</v>
      </c>
      <c r="E6" s="1">
        <v>-0.0051</v>
      </c>
      <c r="F6" s="1">
        <v>-2.461</v>
      </c>
      <c r="G6" s="1">
        <v>-2.7463</v>
      </c>
      <c r="H6" s="1">
        <v>-1.8961</v>
      </c>
      <c r="I6" s="1">
        <v>-2.5231</v>
      </c>
      <c r="J6" s="1">
        <v>0.8502</v>
      </c>
      <c r="K6" s="1">
        <v>4.773</v>
      </c>
      <c r="L6" s="1">
        <v>0</v>
      </c>
    </row>
    <row r="7" ht="18.75" spans="1:12">
      <c r="A7" s="5" t="s">
        <v>16</v>
      </c>
      <c r="B7" s="1" t="s">
        <v>15</v>
      </c>
      <c r="C7" s="1">
        <v>0.00762410999996987</v>
      </c>
      <c r="D7" s="1">
        <v>3.5489</v>
      </c>
      <c r="E7" s="1">
        <v>-0.0022</v>
      </c>
      <c r="F7" s="1">
        <v>-2.463</v>
      </c>
      <c r="G7" s="1">
        <v>-2.7472</v>
      </c>
      <c r="H7" s="1">
        <v>-1.8951</v>
      </c>
      <c r="I7" s="1">
        <v>-2.5231</v>
      </c>
      <c r="J7" s="1">
        <v>0.8521</v>
      </c>
      <c r="K7" s="1">
        <v>4.773</v>
      </c>
      <c r="L7" s="1">
        <v>0</v>
      </c>
    </row>
    <row r="8" spans="1:12">
      <c r="A8" s="5" t="s">
        <v>17</v>
      </c>
      <c r="B8" s="1" t="s">
        <v>13</v>
      </c>
      <c r="C8" s="1">
        <v>-0.156745070000007</v>
      </c>
      <c r="D8" s="1">
        <v>2.2654</v>
      </c>
      <c r="E8" s="1">
        <v>0.1076</v>
      </c>
      <c r="F8" s="1">
        <v>-1.09</v>
      </c>
      <c r="G8" s="1">
        <v>-2.1875</v>
      </c>
      <c r="H8" s="1">
        <v>-1.9268</v>
      </c>
      <c r="I8" s="1">
        <v>-2.0501</v>
      </c>
      <c r="J8" s="1">
        <v>0.2607</v>
      </c>
      <c r="K8" s="1">
        <v>4.327</v>
      </c>
      <c r="L8" s="1">
        <v>1</v>
      </c>
    </row>
    <row r="9" spans="1:12">
      <c r="A9" s="5" t="s">
        <v>17</v>
      </c>
      <c r="B9" s="1" t="s">
        <v>14</v>
      </c>
      <c r="C9" s="1">
        <v>-0.00465682000004364</v>
      </c>
      <c r="D9" s="1">
        <v>3.2134</v>
      </c>
      <c r="E9" s="1">
        <v>-0.016</v>
      </c>
      <c r="F9" s="1">
        <v>-0.702</v>
      </c>
      <c r="G9" s="1">
        <v>-2.4345</v>
      </c>
      <c r="H9" s="1">
        <v>-2.4307</v>
      </c>
      <c r="I9" s="1">
        <v>-2.4317</v>
      </c>
      <c r="J9" s="1">
        <v>0.0037</v>
      </c>
      <c r="K9" s="1">
        <v>4.682</v>
      </c>
      <c r="L9" s="1">
        <v>1</v>
      </c>
    </row>
    <row r="10" spans="1:12">
      <c r="A10" s="5" t="s">
        <v>17</v>
      </c>
      <c r="B10" s="1" t="s">
        <v>15</v>
      </c>
      <c r="C10" s="1">
        <v>-0.0491331900000276</v>
      </c>
      <c r="D10" s="1">
        <v>2.9956</v>
      </c>
      <c r="E10" s="1">
        <v>-0.0034</v>
      </c>
      <c r="F10" s="1">
        <v>-0.899</v>
      </c>
      <c r="G10" s="1">
        <v>-2.3437</v>
      </c>
      <c r="H10" s="1">
        <v>-2.0809</v>
      </c>
      <c r="I10" s="1">
        <v>-2.212</v>
      </c>
      <c r="J10" s="1">
        <v>0.2629</v>
      </c>
      <c r="K10" s="1">
        <v>4.468</v>
      </c>
      <c r="L10" s="1">
        <v>1</v>
      </c>
    </row>
    <row r="11" ht="18.75" spans="1:12">
      <c r="A11" s="5" t="s">
        <v>18</v>
      </c>
      <c r="B11" s="1" t="s">
        <v>13</v>
      </c>
      <c r="C11" s="1">
        <v>-0.00888231000002637</v>
      </c>
      <c r="D11" s="1">
        <v>3.1807</v>
      </c>
      <c r="E11" s="1">
        <v>-0.0055</v>
      </c>
      <c r="F11" s="1">
        <v>-2.263</v>
      </c>
      <c r="G11" s="1">
        <v>-2.7642</v>
      </c>
      <c r="H11" s="1">
        <v>-1.8771</v>
      </c>
      <c r="I11" s="1">
        <v>-2.6103</v>
      </c>
      <c r="J11" s="1">
        <v>0.8871</v>
      </c>
      <c r="K11" s="1">
        <v>4.772</v>
      </c>
      <c r="L11" s="1">
        <v>0</v>
      </c>
    </row>
    <row r="12" ht="18.75" spans="1:12">
      <c r="A12" s="5" t="s">
        <v>18</v>
      </c>
      <c r="B12" s="1" t="s">
        <v>14</v>
      </c>
      <c r="C12" s="1">
        <v>-0.00146563000002065</v>
      </c>
      <c r="D12" s="1">
        <v>3.3917</v>
      </c>
      <c r="E12" s="1">
        <v>-0.008</v>
      </c>
      <c r="F12" s="1">
        <v>-2.263</v>
      </c>
      <c r="G12" s="1">
        <v>-2.7611</v>
      </c>
      <c r="H12" s="1">
        <v>-1.913</v>
      </c>
      <c r="I12" s="1">
        <v>-2.5381</v>
      </c>
      <c r="J12" s="1">
        <v>0.8481</v>
      </c>
      <c r="K12" s="1">
        <v>4.773</v>
      </c>
      <c r="L12" s="1">
        <v>0</v>
      </c>
    </row>
    <row r="13" ht="18.75" spans="1:12">
      <c r="A13" s="5" t="s">
        <v>18</v>
      </c>
      <c r="B13" s="1" t="s">
        <v>15</v>
      </c>
      <c r="C13" s="1">
        <v>-0.00786350000002134</v>
      </c>
      <c r="D13" s="1">
        <v>3.3304</v>
      </c>
      <c r="E13" s="1">
        <v>-0.0071</v>
      </c>
      <c r="F13" s="1">
        <v>-2.262</v>
      </c>
      <c r="G13" s="1">
        <v>-2.7612</v>
      </c>
      <c r="H13" s="1">
        <v>-1.9121</v>
      </c>
      <c r="I13" s="1">
        <v>-2.5381</v>
      </c>
      <c r="J13" s="1">
        <v>0.8491</v>
      </c>
      <c r="K13" s="1">
        <v>4.773</v>
      </c>
      <c r="L13" s="1">
        <v>0</v>
      </c>
    </row>
    <row r="14" spans="1:12">
      <c r="A14" s="5" t="s">
        <v>19</v>
      </c>
      <c r="B14" s="1" t="s">
        <v>13</v>
      </c>
      <c r="C14" s="1">
        <v>-0.00292628000004314</v>
      </c>
      <c r="D14" s="1">
        <v>3.2428</v>
      </c>
      <c r="E14" s="1">
        <v>-0.0004</v>
      </c>
      <c r="F14" s="1">
        <v>-2.469</v>
      </c>
      <c r="G14" s="1">
        <v>-2.7469</v>
      </c>
      <c r="H14" s="1">
        <v>-1.8942</v>
      </c>
      <c r="I14" s="1">
        <v>-2.5231</v>
      </c>
      <c r="J14" s="1">
        <v>0.8527</v>
      </c>
      <c r="K14" s="1">
        <v>4.773</v>
      </c>
      <c r="L14" s="1">
        <v>0</v>
      </c>
    </row>
    <row r="15" spans="1:12">
      <c r="A15" s="5" t="s">
        <v>19</v>
      </c>
      <c r="B15" s="1" t="s">
        <v>14</v>
      </c>
      <c r="C15" s="1">
        <v>-0.0178374200000242</v>
      </c>
      <c r="D15" s="1">
        <v>3.2326</v>
      </c>
      <c r="E15" s="1">
        <v>0.0063</v>
      </c>
      <c r="F15" s="1">
        <v>-2.47</v>
      </c>
      <c r="G15" s="1">
        <v>-2.7499</v>
      </c>
      <c r="H15" s="1">
        <v>-1.8957</v>
      </c>
      <c r="I15" s="1">
        <v>-2.5281</v>
      </c>
      <c r="J15" s="1">
        <v>0.8542</v>
      </c>
      <c r="K15" s="1">
        <v>4.78</v>
      </c>
      <c r="L15" s="1">
        <v>0</v>
      </c>
    </row>
    <row r="16" spans="1:12">
      <c r="A16" s="5" t="s">
        <v>19</v>
      </c>
      <c r="B16" s="1" t="s">
        <v>15</v>
      </c>
      <c r="C16" s="1">
        <v>0.00349621999999883</v>
      </c>
      <c r="D16" s="1">
        <v>3.346</v>
      </c>
      <c r="E16" s="1">
        <v>0.0023</v>
      </c>
      <c r="F16" s="1">
        <v>-2.473</v>
      </c>
      <c r="G16" s="1">
        <v>-2.748</v>
      </c>
      <c r="H16" s="1">
        <v>-1.8949</v>
      </c>
      <c r="I16" s="1">
        <v>-2.5231</v>
      </c>
      <c r="J16" s="1">
        <v>0.8531</v>
      </c>
      <c r="K16" s="1">
        <v>4.773</v>
      </c>
      <c r="L16" s="1">
        <v>0</v>
      </c>
    </row>
    <row r="17" ht="18.75" spans="1:12">
      <c r="A17" s="5" t="s">
        <v>20</v>
      </c>
      <c r="B17" s="1" t="s">
        <v>13</v>
      </c>
      <c r="C17" s="1">
        <v>-0.0341500900000149</v>
      </c>
      <c r="D17" s="1">
        <v>2.5644</v>
      </c>
      <c r="E17" s="1">
        <v>-0.0207</v>
      </c>
      <c r="F17" s="1">
        <v>-2.384</v>
      </c>
      <c r="G17" s="1">
        <v>-2.7997</v>
      </c>
      <c r="H17" s="1">
        <v>-1.9497</v>
      </c>
      <c r="I17" s="1">
        <v>-2.5781</v>
      </c>
      <c r="J17" s="1">
        <v>0.85</v>
      </c>
      <c r="K17" s="1">
        <v>4.898</v>
      </c>
      <c r="L17" s="1">
        <v>1</v>
      </c>
    </row>
    <row r="18" ht="18.75" spans="1:12">
      <c r="A18" s="5" t="s">
        <v>20</v>
      </c>
      <c r="B18" s="1" t="s">
        <v>14</v>
      </c>
      <c r="C18" s="1">
        <v>-0.0182431600000434</v>
      </c>
      <c r="D18" s="1">
        <v>3.0392</v>
      </c>
      <c r="E18" s="1">
        <v>-0.0273</v>
      </c>
      <c r="F18" s="1">
        <v>-2.386</v>
      </c>
      <c r="G18" s="1">
        <v>-2.7986</v>
      </c>
      <c r="H18" s="1">
        <v>-1.9473</v>
      </c>
      <c r="I18" s="1">
        <v>-2.5781</v>
      </c>
      <c r="J18" s="1">
        <v>0.8512</v>
      </c>
      <c r="K18" s="1">
        <v>4.902</v>
      </c>
      <c r="L18" s="1">
        <v>1</v>
      </c>
    </row>
    <row r="19" ht="18.75" spans="1:12">
      <c r="A19" s="5" t="s">
        <v>20</v>
      </c>
      <c r="B19" s="1" t="s">
        <v>15</v>
      </c>
      <c r="C19" s="1">
        <v>-0.0327073000000162</v>
      </c>
      <c r="D19" s="1">
        <v>2.9591</v>
      </c>
      <c r="E19" s="1">
        <v>-0.0297</v>
      </c>
      <c r="F19" s="1">
        <v>-2.384</v>
      </c>
      <c r="G19" s="1">
        <v>-2.7983</v>
      </c>
      <c r="H19" s="1">
        <v>-1.9444</v>
      </c>
      <c r="I19" s="1">
        <v>-2.5781</v>
      </c>
      <c r="J19" s="1">
        <v>0.8539</v>
      </c>
      <c r="K19" s="1">
        <v>4.899</v>
      </c>
      <c r="L19" s="1">
        <v>1</v>
      </c>
    </row>
    <row r="20" ht="18.75" spans="1:12">
      <c r="A20" s="5" t="s">
        <v>21</v>
      </c>
      <c r="B20" s="1" t="s">
        <v>13</v>
      </c>
      <c r="C20" s="1">
        <v>-0.0238463400000199</v>
      </c>
      <c r="D20" s="1">
        <v>2.98175</v>
      </c>
      <c r="E20" s="1">
        <v>-0.0251</v>
      </c>
      <c r="F20" s="1">
        <v>-1.318</v>
      </c>
      <c r="G20" s="1">
        <v>-2.7092</v>
      </c>
      <c r="H20" s="1">
        <v>-1.8642</v>
      </c>
      <c r="I20" s="1">
        <v>-2.4881</v>
      </c>
      <c r="J20" s="1">
        <v>0.845</v>
      </c>
      <c r="K20" s="7">
        <v>4.77</v>
      </c>
      <c r="L20" s="1">
        <v>1</v>
      </c>
    </row>
    <row r="21" ht="18.75" spans="1:12">
      <c r="A21" s="5" t="s">
        <v>21</v>
      </c>
      <c r="B21" s="1" t="s">
        <v>14</v>
      </c>
      <c r="C21" s="1">
        <v>-0.0262610600000102</v>
      </c>
      <c r="D21" s="1">
        <v>2.92495</v>
      </c>
      <c r="E21" s="1">
        <v>-0.0451</v>
      </c>
      <c r="F21" s="1">
        <v>-1.322</v>
      </c>
      <c r="G21" s="1">
        <v>-2.7057</v>
      </c>
      <c r="H21" s="1">
        <v>-1.8578</v>
      </c>
      <c r="I21" s="1">
        <v>-2.4831</v>
      </c>
      <c r="J21" s="1">
        <v>0.8459</v>
      </c>
      <c r="K21" s="1">
        <v>4.768</v>
      </c>
      <c r="L21" s="1">
        <v>1</v>
      </c>
    </row>
    <row r="22" ht="18.75" spans="1:12">
      <c r="A22" s="5" t="s">
        <v>21</v>
      </c>
      <c r="B22" s="1" t="s">
        <v>15</v>
      </c>
      <c r="C22" s="1">
        <v>-0.0225107000000406</v>
      </c>
      <c r="D22" s="1">
        <v>2.95477</v>
      </c>
      <c r="E22" s="1">
        <v>-0.0259</v>
      </c>
      <c r="F22" s="1">
        <v>-1.323</v>
      </c>
      <c r="G22" s="1">
        <v>-2.7056</v>
      </c>
      <c r="H22" s="1">
        <v>-1.8574</v>
      </c>
      <c r="I22" s="1">
        <v>-2.4831</v>
      </c>
      <c r="J22" s="1">
        <v>0.8482</v>
      </c>
      <c r="K22" s="1">
        <v>4.768</v>
      </c>
      <c r="L22" s="1">
        <v>1</v>
      </c>
    </row>
    <row r="23" ht="18.75" spans="1:12">
      <c r="A23" s="5" t="s">
        <v>22</v>
      </c>
      <c r="B23" s="1" t="s">
        <v>13</v>
      </c>
      <c r="C23" s="1">
        <v>-0.0969751100000025</v>
      </c>
      <c r="D23" s="1">
        <v>2.71851</v>
      </c>
      <c r="E23" s="1">
        <v>-0.0528</v>
      </c>
      <c r="F23" s="1">
        <v>-0.969</v>
      </c>
      <c r="G23" s="1">
        <v>-2.5633</v>
      </c>
      <c r="H23" s="1">
        <v>-1.7138</v>
      </c>
      <c r="I23" s="1">
        <v>-2.3431</v>
      </c>
      <c r="J23" s="1">
        <v>0.8495</v>
      </c>
      <c r="K23" s="1">
        <v>4.475</v>
      </c>
      <c r="L23" s="1">
        <v>1</v>
      </c>
    </row>
    <row r="24" ht="18.75" spans="1:12">
      <c r="A24" s="5" t="s">
        <v>22</v>
      </c>
      <c r="B24" s="1" t="s">
        <v>14</v>
      </c>
      <c r="C24" s="1">
        <v>-0.0710364900000826</v>
      </c>
      <c r="D24" s="1">
        <v>2.83723</v>
      </c>
      <c r="E24" s="1">
        <v>-0.0489</v>
      </c>
      <c r="F24" s="1">
        <v>-0.973</v>
      </c>
      <c r="G24" s="1">
        <v>-2.5657</v>
      </c>
      <c r="H24" s="1">
        <v>-1.7183</v>
      </c>
      <c r="I24" s="1">
        <v>-2.3431</v>
      </c>
      <c r="J24" s="1">
        <v>0.8474</v>
      </c>
      <c r="K24" s="1">
        <v>4.742</v>
      </c>
      <c r="L24" s="1">
        <v>1</v>
      </c>
    </row>
    <row r="25" ht="18.75" spans="1:12">
      <c r="A25" s="5" t="s">
        <v>22</v>
      </c>
      <c r="B25" s="1" t="s">
        <v>15</v>
      </c>
      <c r="C25" s="1">
        <v>-0.0742381800000516</v>
      </c>
      <c r="D25" s="1">
        <v>2.8315</v>
      </c>
      <c r="E25" s="1">
        <v>-0.0508</v>
      </c>
      <c r="F25" s="1">
        <v>-0.971</v>
      </c>
      <c r="G25" s="1">
        <v>-2.5726</v>
      </c>
      <c r="H25" s="1">
        <v>-1.7256</v>
      </c>
      <c r="I25" s="1">
        <v>-2.3481</v>
      </c>
      <c r="J25" s="1">
        <v>0.8461</v>
      </c>
      <c r="K25" s="1">
        <v>4.743</v>
      </c>
      <c r="L25" s="1">
        <v>1</v>
      </c>
    </row>
    <row r="26" ht="18.75" spans="1:12">
      <c r="A26" s="6" t="s">
        <v>23</v>
      </c>
      <c r="B26" s="1" t="s">
        <v>13</v>
      </c>
      <c r="C26" s="1">
        <v>0.0195227099999755</v>
      </c>
      <c r="D26" s="1">
        <v>3.4613</v>
      </c>
      <c r="E26" s="1">
        <v>-0.0453</v>
      </c>
      <c r="F26" s="1">
        <v>-0.721</v>
      </c>
      <c r="G26" s="1">
        <v>-2.6768</v>
      </c>
      <c r="H26" s="1">
        <v>-1.8236</v>
      </c>
      <c r="I26" s="1">
        <v>-2.4531</v>
      </c>
      <c r="J26" s="1">
        <v>0.8532</v>
      </c>
      <c r="K26" s="1">
        <v>4.771</v>
      </c>
      <c r="L26" s="1">
        <v>0</v>
      </c>
    </row>
    <row r="27" ht="18.75" spans="1:12">
      <c r="A27" s="6" t="s">
        <v>23</v>
      </c>
      <c r="B27" s="1" t="s">
        <v>14</v>
      </c>
      <c r="C27" s="1">
        <v>-0.00597878000003504</v>
      </c>
      <c r="D27" s="1">
        <v>3.353</v>
      </c>
      <c r="E27" s="1">
        <v>-0.0445</v>
      </c>
      <c r="F27" s="1">
        <v>-0.718</v>
      </c>
      <c r="G27" s="1">
        <v>-2.6736</v>
      </c>
      <c r="H27" s="1">
        <v>-1.8184</v>
      </c>
      <c r="I27" s="1">
        <v>-2.4531</v>
      </c>
      <c r="J27" s="1">
        <v>0.8552</v>
      </c>
      <c r="K27" s="1">
        <v>4.773</v>
      </c>
      <c r="L27" s="1">
        <v>0</v>
      </c>
    </row>
    <row r="28" ht="18.75" spans="1:12">
      <c r="A28" s="6" t="s">
        <v>23</v>
      </c>
      <c r="B28" s="1" t="s">
        <v>15</v>
      </c>
      <c r="C28" s="1">
        <v>0.0111042599999536</v>
      </c>
      <c r="D28" s="1">
        <v>3.4192</v>
      </c>
      <c r="E28" s="1">
        <v>-0.0482</v>
      </c>
      <c r="F28" s="1">
        <v>-0.718</v>
      </c>
      <c r="G28" s="1">
        <v>-2.6737</v>
      </c>
      <c r="H28" s="1">
        <v>-1.8224</v>
      </c>
      <c r="I28" s="1">
        <v>-2.4531</v>
      </c>
      <c r="J28" s="1">
        <v>0.8513</v>
      </c>
      <c r="K28" s="1">
        <v>4.772</v>
      </c>
      <c r="L28" s="1">
        <v>0</v>
      </c>
    </row>
    <row r="29" ht="18.75" spans="1:12">
      <c r="A29" s="6" t="s">
        <v>24</v>
      </c>
      <c r="B29" s="1" t="s">
        <v>13</v>
      </c>
      <c r="C29" s="1">
        <v>-0.0493299600000512</v>
      </c>
      <c r="D29" s="1">
        <v>2.8337</v>
      </c>
      <c r="E29" s="1">
        <v>-0.0152</v>
      </c>
      <c r="F29" s="1">
        <v>-2.487</v>
      </c>
      <c r="G29" s="1">
        <v>-2.7168</v>
      </c>
      <c r="H29" s="1">
        <v>-1.8686</v>
      </c>
      <c r="I29" s="1">
        <v>-2.4931</v>
      </c>
      <c r="J29" s="1">
        <v>0.8482</v>
      </c>
      <c r="K29" s="1">
        <v>4.764</v>
      </c>
      <c r="L29" s="1">
        <v>1</v>
      </c>
    </row>
    <row r="30" ht="18.75" spans="1:12">
      <c r="A30" s="6" t="s">
        <v>24</v>
      </c>
      <c r="B30" s="1" t="s">
        <v>14</v>
      </c>
      <c r="C30" s="1">
        <v>-0.0199482600000067</v>
      </c>
      <c r="D30" s="1">
        <v>3.0469</v>
      </c>
      <c r="E30" s="1">
        <v>-0.0118</v>
      </c>
      <c r="F30" s="1">
        <v>-2.48</v>
      </c>
      <c r="G30" s="1">
        <v>-2.7287</v>
      </c>
      <c r="H30" s="1">
        <v>-1.8834</v>
      </c>
      <c r="I30" s="1">
        <v>-2.5081</v>
      </c>
      <c r="J30" s="1">
        <v>0.8453</v>
      </c>
      <c r="K30" s="1">
        <v>4.771</v>
      </c>
      <c r="L30" s="1">
        <v>1</v>
      </c>
    </row>
    <row r="31" ht="18.75" spans="1:12">
      <c r="A31" s="6" t="s">
        <v>24</v>
      </c>
      <c r="B31" s="1" t="s">
        <v>15</v>
      </c>
      <c r="C31" s="1">
        <v>-0.0495580000000189</v>
      </c>
      <c r="D31" s="1">
        <v>3.0093</v>
      </c>
      <c r="E31" s="1">
        <v>-0.0186</v>
      </c>
      <c r="F31" s="1">
        <v>-2.488</v>
      </c>
      <c r="G31" s="1">
        <v>-2.7109</v>
      </c>
      <c r="H31" s="1">
        <v>-1.8624</v>
      </c>
      <c r="I31" s="1">
        <v>-2.4881</v>
      </c>
      <c r="J31" s="1">
        <v>0.8485</v>
      </c>
      <c r="K31" s="1">
        <v>4.763</v>
      </c>
      <c r="L31" s="1">
        <v>1</v>
      </c>
    </row>
    <row r="32" ht="18.75" spans="1:12">
      <c r="A32" s="5" t="s">
        <v>25</v>
      </c>
      <c r="B32" s="1" t="s">
        <v>13</v>
      </c>
      <c r="C32" s="1">
        <v>-0.000584430000060365</v>
      </c>
      <c r="D32" s="1">
        <v>2.7854</v>
      </c>
      <c r="E32" s="1">
        <v>-0.0389908000000005</v>
      </c>
      <c r="F32" s="1">
        <v>-0.795</v>
      </c>
      <c r="G32" s="1">
        <v>-2.6649</v>
      </c>
      <c r="H32" s="1">
        <v>-1.8095</v>
      </c>
      <c r="I32" s="1">
        <v>-2.4431</v>
      </c>
      <c r="J32" s="1">
        <v>0.8555</v>
      </c>
      <c r="K32" s="1">
        <v>4.774</v>
      </c>
      <c r="L32" s="1">
        <v>0</v>
      </c>
    </row>
    <row r="33" ht="18.75" spans="1:12">
      <c r="A33" s="5" t="s">
        <v>25</v>
      </c>
      <c r="B33" s="1" t="s">
        <v>14</v>
      </c>
      <c r="C33" s="1">
        <v>-0.0100656600000661</v>
      </c>
      <c r="D33" s="1">
        <v>3.08168</v>
      </c>
      <c r="E33" s="1">
        <v>-0.0500517999999985</v>
      </c>
      <c r="F33" s="1">
        <v>-0.801</v>
      </c>
      <c r="G33" s="1">
        <v>-2.6546</v>
      </c>
      <c r="H33" s="1">
        <v>-1.7941</v>
      </c>
      <c r="I33" s="1">
        <v>-2.4331</v>
      </c>
      <c r="J33" s="1">
        <v>0.8605</v>
      </c>
      <c r="K33" s="1">
        <v>4.77</v>
      </c>
      <c r="L33" s="1">
        <v>0</v>
      </c>
    </row>
    <row r="34" ht="18.75" spans="1:12">
      <c r="A34" s="5" t="s">
        <v>25</v>
      </c>
      <c r="B34" s="1" t="s">
        <v>15</v>
      </c>
      <c r="C34" s="1">
        <v>-0.0117840400000091</v>
      </c>
      <c r="D34" s="1">
        <v>2.90969</v>
      </c>
      <c r="E34" s="1">
        <v>-0.0449213999999927</v>
      </c>
      <c r="F34" s="1">
        <v>-0.795</v>
      </c>
      <c r="G34" s="1">
        <v>-2.6581</v>
      </c>
      <c r="H34" s="1">
        <v>-1.8037</v>
      </c>
      <c r="I34" s="1">
        <v>-2.4381</v>
      </c>
      <c r="J34" s="1">
        <v>0.8544</v>
      </c>
      <c r="K34" s="1">
        <v>4.772</v>
      </c>
      <c r="L34" s="1">
        <v>0</v>
      </c>
    </row>
    <row r="35" ht="18.75" spans="1:12">
      <c r="A35" s="5" t="s">
        <v>26</v>
      </c>
      <c r="B35" s="1" t="s">
        <v>13</v>
      </c>
      <c r="C35" s="1">
        <v>-0.0290419100000037</v>
      </c>
      <c r="D35" s="1">
        <v>3.13986</v>
      </c>
      <c r="E35" s="1">
        <v>-0.0193879000000017</v>
      </c>
      <c r="F35" s="1">
        <v>-2.59</v>
      </c>
      <c r="G35" s="1">
        <v>-2.6524</v>
      </c>
      <c r="H35" s="1">
        <v>-1.8053</v>
      </c>
      <c r="I35" s="1">
        <v>-2.4281</v>
      </c>
      <c r="J35" s="1">
        <v>0.8471</v>
      </c>
      <c r="K35" s="1">
        <v>4.744</v>
      </c>
      <c r="L35" s="1">
        <v>0</v>
      </c>
    </row>
    <row r="36" ht="18.75" spans="1:12">
      <c r="A36" s="5" t="s">
        <v>26</v>
      </c>
      <c r="B36" s="1" t="s">
        <v>14</v>
      </c>
      <c r="C36" s="1">
        <v>-0.0589825600000182</v>
      </c>
      <c r="D36" s="1">
        <v>2.73853</v>
      </c>
      <c r="E36" s="1">
        <v>-0.0252143000000018</v>
      </c>
      <c r="F36" s="1">
        <v>-2.589</v>
      </c>
      <c r="G36" s="1">
        <v>-2.6532</v>
      </c>
      <c r="H36" s="1">
        <v>-1.8021</v>
      </c>
      <c r="I36" s="1">
        <v>-2.4331</v>
      </c>
      <c r="J36" s="1">
        <v>0.8511</v>
      </c>
      <c r="K36" s="1">
        <v>4.75</v>
      </c>
      <c r="L36" s="1">
        <v>0</v>
      </c>
    </row>
    <row r="37" ht="18.75" spans="1:12">
      <c r="A37" s="5" t="s">
        <v>26</v>
      </c>
      <c r="B37" s="1" t="s">
        <v>15</v>
      </c>
      <c r="C37" s="1">
        <v>-0.0617573100000328</v>
      </c>
      <c r="D37" s="1">
        <v>2.99962</v>
      </c>
      <c r="E37" s="1">
        <v>-0.0230521999999986</v>
      </c>
      <c r="F37" s="1">
        <v>-2.593</v>
      </c>
      <c r="G37" s="1">
        <v>-2.6528</v>
      </c>
      <c r="H37" s="1">
        <v>-1.8</v>
      </c>
      <c r="I37" s="1">
        <v>-2.4281</v>
      </c>
      <c r="J37" s="1">
        <v>0.8528</v>
      </c>
      <c r="K37" s="1">
        <v>4.745</v>
      </c>
      <c r="L37" s="1">
        <v>0</v>
      </c>
    </row>
    <row r="38" ht="18.75" spans="1:12">
      <c r="A38" s="5" t="s">
        <v>27</v>
      </c>
      <c r="B38" s="1" t="s">
        <v>13</v>
      </c>
      <c r="C38" s="1">
        <v>-0.0333345600000428</v>
      </c>
      <c r="D38" s="1">
        <v>2.83843</v>
      </c>
      <c r="E38" s="1">
        <v>-0.0722407999999994</v>
      </c>
      <c r="F38" s="1">
        <v>-0.778</v>
      </c>
      <c r="G38" s="1">
        <v>-2.6646</v>
      </c>
      <c r="H38" s="1">
        <v>-1.8458</v>
      </c>
      <c r="I38" s="1">
        <v>-2.4331</v>
      </c>
      <c r="J38" s="1">
        <v>0.8188</v>
      </c>
      <c r="K38" s="1">
        <v>4.73</v>
      </c>
      <c r="L38" s="1">
        <v>1</v>
      </c>
    </row>
    <row r="39" ht="18.75" spans="1:12">
      <c r="A39" s="5" t="s">
        <v>27</v>
      </c>
      <c r="B39" s="1" t="s">
        <v>14</v>
      </c>
      <c r="C39" s="1">
        <v>-0.0571211800000526</v>
      </c>
      <c r="D39" s="1">
        <v>2.8305</v>
      </c>
      <c r="E39" s="1">
        <v>-0.0810163000000053</v>
      </c>
      <c r="F39" s="1">
        <v>-0.741</v>
      </c>
      <c r="G39" s="1">
        <v>-2.695</v>
      </c>
      <c r="H39" s="1">
        <v>-1.8363</v>
      </c>
      <c r="I39" s="1">
        <v>-2.4681</v>
      </c>
      <c r="J39" s="1">
        <v>0.8587</v>
      </c>
      <c r="K39" s="1">
        <v>4.768</v>
      </c>
      <c r="L39" s="1">
        <v>1</v>
      </c>
    </row>
    <row r="40" ht="18.75" spans="1:12">
      <c r="A40" s="5" t="s">
        <v>27</v>
      </c>
      <c r="B40" s="1" t="s">
        <v>15</v>
      </c>
      <c r="C40" s="1">
        <v>-0.0357754900000202</v>
      </c>
      <c r="D40" s="1">
        <v>2.85548</v>
      </c>
      <c r="E40" s="1">
        <v>-0.0768095999999971</v>
      </c>
      <c r="F40" s="1">
        <v>-0.752</v>
      </c>
      <c r="G40" s="1">
        <v>-2.6883</v>
      </c>
      <c r="H40" s="1">
        <v>-1.8424</v>
      </c>
      <c r="I40" s="1">
        <v>-2.4581</v>
      </c>
      <c r="J40" s="1">
        <v>0.846</v>
      </c>
      <c r="K40" s="1">
        <v>4.757</v>
      </c>
      <c r="L40" s="1">
        <v>1</v>
      </c>
    </row>
    <row r="41" ht="18.75" spans="1:12">
      <c r="A41" s="5" t="s">
        <v>28</v>
      </c>
      <c r="B41" s="1" t="s">
        <v>13</v>
      </c>
      <c r="C41" s="1">
        <v>0.0409348899999884</v>
      </c>
      <c r="D41" s="1">
        <v>3.39017</v>
      </c>
      <c r="E41" s="1">
        <v>-0.0240176000000005</v>
      </c>
      <c r="F41" s="1">
        <v>-2.738</v>
      </c>
      <c r="G41" s="1">
        <v>-2.6371</v>
      </c>
      <c r="H41" s="1">
        <v>-1.7817</v>
      </c>
      <c r="I41" s="1">
        <v>-2.4131</v>
      </c>
      <c r="J41" s="1">
        <v>0.8554</v>
      </c>
      <c r="K41" s="1">
        <v>4.756</v>
      </c>
      <c r="L41" s="1">
        <v>0</v>
      </c>
    </row>
    <row r="42" ht="18.75" spans="1:12">
      <c r="A42" s="5" t="s">
        <v>28</v>
      </c>
      <c r="B42" s="1" t="s">
        <v>14</v>
      </c>
      <c r="C42" s="1">
        <v>0.0107368699999881</v>
      </c>
      <c r="D42" s="1">
        <v>3.2495</v>
      </c>
      <c r="E42" s="1">
        <v>-0.018288799999997</v>
      </c>
      <c r="F42" s="1">
        <v>-2.733</v>
      </c>
      <c r="G42" s="1">
        <v>-2.6397</v>
      </c>
      <c r="H42" s="1">
        <v>-1.782</v>
      </c>
      <c r="I42" s="1">
        <v>-2.4181</v>
      </c>
      <c r="J42" s="1">
        <v>0.8577</v>
      </c>
      <c r="K42" s="1">
        <v>4.761</v>
      </c>
      <c r="L42" s="1">
        <v>0</v>
      </c>
    </row>
    <row r="43" ht="18.75" spans="1:12">
      <c r="A43" s="5" t="s">
        <v>28</v>
      </c>
      <c r="B43" s="1" t="s">
        <v>15</v>
      </c>
      <c r="C43" s="1">
        <v>0.0317930399999966</v>
      </c>
      <c r="D43" s="1">
        <v>3.21526</v>
      </c>
      <c r="E43" s="1">
        <v>-0.0193518999999966</v>
      </c>
      <c r="F43" s="1">
        <v>-2.738</v>
      </c>
      <c r="G43" s="1">
        <v>-2.6377</v>
      </c>
      <c r="H43" s="1">
        <v>-1.7824</v>
      </c>
      <c r="I43" s="1">
        <v>-2.4131</v>
      </c>
      <c r="J43" s="1">
        <v>0.8553</v>
      </c>
      <c r="K43" s="1">
        <v>4.756</v>
      </c>
      <c r="L43" s="1">
        <v>0</v>
      </c>
    </row>
    <row r="44" ht="18.75" spans="1:12">
      <c r="A44" s="5" t="s">
        <v>29</v>
      </c>
      <c r="B44" s="1" t="s">
        <v>13</v>
      </c>
      <c r="C44" s="1">
        <v>-0.00454376000000423</v>
      </c>
      <c r="D44" s="1">
        <v>2.71775</v>
      </c>
      <c r="E44" s="1">
        <v>-0.0116091999999988</v>
      </c>
      <c r="F44" s="1">
        <v>-2.604</v>
      </c>
      <c r="G44" s="1">
        <v>-2.7591</v>
      </c>
      <c r="H44" s="1">
        <v>-1.9079</v>
      </c>
      <c r="I44" s="1">
        <v>-2.5381</v>
      </c>
      <c r="J44" s="1">
        <v>0.8512</v>
      </c>
      <c r="K44" s="1">
        <v>4.905</v>
      </c>
      <c r="L44" s="1">
        <v>0</v>
      </c>
    </row>
    <row r="45" ht="18.75" spans="1:12">
      <c r="A45" s="5" t="s">
        <v>29</v>
      </c>
      <c r="B45" s="1" t="s">
        <v>14</v>
      </c>
      <c r="C45" s="1">
        <v>0.00136052999998526</v>
      </c>
      <c r="D45" s="1">
        <v>2.81129</v>
      </c>
      <c r="E45" s="1">
        <v>-0.0143415000000005</v>
      </c>
      <c r="F45" s="1">
        <v>-2.609</v>
      </c>
      <c r="G45" s="1">
        <v>-2.7508</v>
      </c>
      <c r="H45" s="1">
        <v>-1.8986</v>
      </c>
      <c r="I45" s="1">
        <v>-2.5281</v>
      </c>
      <c r="J45" s="1">
        <v>0.8521</v>
      </c>
      <c r="K45" s="1">
        <v>4.885</v>
      </c>
      <c r="L45" s="1">
        <v>0</v>
      </c>
    </row>
    <row r="46" ht="18.75" spans="1:12">
      <c r="A46" s="5" t="s">
        <v>29</v>
      </c>
      <c r="B46" s="1" t="s">
        <v>15</v>
      </c>
      <c r="C46" s="1">
        <v>0.0115185899999659</v>
      </c>
      <c r="D46" s="1">
        <v>2.87964</v>
      </c>
      <c r="E46" s="1">
        <v>-0.0163836000000011</v>
      </c>
      <c r="F46" s="1">
        <v>-2.606</v>
      </c>
      <c r="G46" s="1">
        <v>-2.7532</v>
      </c>
      <c r="H46" s="1">
        <v>-1.9015</v>
      </c>
      <c r="I46" s="1">
        <v>-2.5331</v>
      </c>
      <c r="J46" s="1">
        <v>0.8517</v>
      </c>
      <c r="K46" s="1">
        <v>4.894</v>
      </c>
      <c r="L46" s="1">
        <v>0</v>
      </c>
    </row>
    <row r="47" ht="18.75" spans="1:12">
      <c r="A47" s="6" t="s">
        <v>30</v>
      </c>
      <c r="B47" s="1" t="s">
        <v>13</v>
      </c>
      <c r="C47" s="1">
        <v>-0.059341980000049</v>
      </c>
      <c r="D47" s="1">
        <v>2.96828</v>
      </c>
      <c r="E47" s="1">
        <v>-0.0337159000000007</v>
      </c>
      <c r="F47" s="1">
        <v>-0.734</v>
      </c>
      <c r="G47" s="1">
        <v>-2.6636</v>
      </c>
      <c r="H47" s="1">
        <v>-1.8147</v>
      </c>
      <c r="I47" s="1">
        <v>-2.4431</v>
      </c>
      <c r="J47" s="1">
        <v>0.8489</v>
      </c>
      <c r="K47" s="1">
        <v>4.757</v>
      </c>
      <c r="L47" s="1">
        <v>0</v>
      </c>
    </row>
    <row r="48" ht="18.75" spans="1:12">
      <c r="A48" s="6" t="s">
        <v>30</v>
      </c>
      <c r="B48" s="1" t="s">
        <v>14</v>
      </c>
      <c r="C48" s="1">
        <v>-0.056595330000043</v>
      </c>
      <c r="D48" s="1">
        <v>2.70896</v>
      </c>
      <c r="E48" s="1">
        <v>-0.0328688000000028</v>
      </c>
      <c r="F48" s="1">
        <v>-0.732</v>
      </c>
      <c r="G48" s="1">
        <v>-2.6815</v>
      </c>
      <c r="H48" s="1">
        <v>-1.8334</v>
      </c>
      <c r="I48" s="1">
        <v>-2.4581</v>
      </c>
      <c r="J48" s="1">
        <v>0.8481</v>
      </c>
      <c r="K48" s="1">
        <v>4.759</v>
      </c>
      <c r="L48" s="1">
        <v>0</v>
      </c>
    </row>
    <row r="49" ht="18.75" spans="1:12">
      <c r="A49" s="6" t="s">
        <v>30</v>
      </c>
      <c r="B49" s="1" t="s">
        <v>15</v>
      </c>
      <c r="C49" s="1">
        <v>-0.0656041100000309</v>
      </c>
      <c r="D49" s="1">
        <v>2.81296</v>
      </c>
      <c r="E49" s="1">
        <v>-0.0300869999999982</v>
      </c>
      <c r="F49" s="1">
        <v>-0.736</v>
      </c>
      <c r="G49" s="1">
        <v>-2.6723</v>
      </c>
      <c r="H49" s="1">
        <v>-1.822</v>
      </c>
      <c r="I49" s="1">
        <v>-2.4481</v>
      </c>
      <c r="J49" s="1">
        <v>0.8503</v>
      </c>
      <c r="K49" s="1">
        <v>4.756</v>
      </c>
      <c r="L49" s="1">
        <v>0</v>
      </c>
    </row>
    <row r="50" ht="18.75" spans="1:12">
      <c r="A50" s="5" t="s">
        <v>31</v>
      </c>
      <c r="B50" s="1" t="s">
        <v>13</v>
      </c>
      <c r="C50" s="1">
        <v>-0.00692329000003511</v>
      </c>
      <c r="D50" s="1">
        <v>3.39408</v>
      </c>
      <c r="E50" s="1">
        <v>0.0058415000000025</v>
      </c>
      <c r="F50" s="1">
        <v>-2.564</v>
      </c>
      <c r="G50" s="1">
        <v>-2.7391</v>
      </c>
      <c r="H50" s="1">
        <v>-1.8881</v>
      </c>
      <c r="I50" s="1">
        <v>-2.5181</v>
      </c>
      <c r="J50" s="1">
        <v>0.851</v>
      </c>
      <c r="K50" s="1">
        <v>4.776</v>
      </c>
      <c r="L50" s="1">
        <v>0</v>
      </c>
    </row>
    <row r="51" ht="18.75" spans="1:12">
      <c r="A51" s="5" t="s">
        <v>31</v>
      </c>
      <c r="B51" s="1" t="s">
        <v>14</v>
      </c>
      <c r="C51" s="1">
        <v>-0.0117794800000333</v>
      </c>
      <c r="D51" s="1">
        <v>3.40665</v>
      </c>
      <c r="E51" s="1">
        <v>0.00444309999999959</v>
      </c>
      <c r="F51" s="1">
        <v>-2.565</v>
      </c>
      <c r="G51" s="1">
        <v>-2.7399</v>
      </c>
      <c r="H51" s="1">
        <v>-1.8915</v>
      </c>
      <c r="I51" s="1">
        <v>-2.5181</v>
      </c>
      <c r="J51" s="1">
        <v>0.8484</v>
      </c>
      <c r="K51" s="1">
        <v>4.776</v>
      </c>
      <c r="L51" s="1">
        <v>0</v>
      </c>
    </row>
    <row r="52" ht="18.75" spans="1:12">
      <c r="A52" s="5" t="s">
        <v>31</v>
      </c>
      <c r="B52" s="1" t="s">
        <v>15</v>
      </c>
      <c r="C52" s="1">
        <v>0.0143508999999504</v>
      </c>
      <c r="D52" s="1">
        <v>3.43155</v>
      </c>
      <c r="E52" s="1">
        <v>0.00200609999999912</v>
      </c>
      <c r="F52" s="1">
        <v>-2.569</v>
      </c>
      <c r="G52" s="1">
        <v>-2.7366</v>
      </c>
      <c r="H52" s="1">
        <v>-1.8907</v>
      </c>
      <c r="I52" s="1">
        <v>-2.5131</v>
      </c>
      <c r="J52" s="1">
        <v>0.846</v>
      </c>
      <c r="K52" s="1">
        <v>4.771</v>
      </c>
      <c r="L52" s="1">
        <v>0</v>
      </c>
    </row>
    <row r="53" ht="18.75" spans="1:12">
      <c r="A53" s="5" t="s">
        <v>32</v>
      </c>
      <c r="B53" s="1" t="s">
        <v>13</v>
      </c>
      <c r="C53" s="1">
        <v>-0.0667159300000542</v>
      </c>
      <c r="D53" s="1">
        <v>2.83179</v>
      </c>
      <c r="E53" s="1">
        <v>-0.0147548999999998</v>
      </c>
      <c r="F53" s="1">
        <v>-2.382</v>
      </c>
      <c r="G53" s="1">
        <v>-2.7271</v>
      </c>
      <c r="H53" s="1">
        <v>-1.8755</v>
      </c>
      <c r="I53" s="1">
        <v>-2.5031</v>
      </c>
      <c r="J53" s="1">
        <v>0.8516</v>
      </c>
      <c r="K53" s="1">
        <v>4.763</v>
      </c>
      <c r="L53" s="1">
        <v>1</v>
      </c>
    </row>
    <row r="54" ht="18.75" spans="1:12">
      <c r="A54" s="5" t="s">
        <v>32</v>
      </c>
      <c r="B54" s="1" t="s">
        <v>14</v>
      </c>
      <c r="C54" s="1">
        <v>-0.0495569900000525</v>
      </c>
      <c r="D54" s="1">
        <v>3.11762</v>
      </c>
      <c r="E54" s="1">
        <v>-0.0147548999999998</v>
      </c>
      <c r="F54" s="1">
        <v>-2.382</v>
      </c>
      <c r="G54" s="1">
        <v>-2.7271</v>
      </c>
      <c r="H54" s="1">
        <v>-1.8755</v>
      </c>
      <c r="I54" s="1">
        <v>-2.5031</v>
      </c>
      <c r="J54" s="1">
        <v>0.8516</v>
      </c>
      <c r="K54" s="1">
        <v>4.763</v>
      </c>
      <c r="L54" s="1">
        <v>1</v>
      </c>
    </row>
    <row r="55" ht="18.75" spans="1:12">
      <c r="A55" s="5" t="s">
        <v>32</v>
      </c>
      <c r="B55" s="1" t="s">
        <v>15</v>
      </c>
      <c r="C55" s="1">
        <v>-0.0495637200000481</v>
      </c>
      <c r="D55" s="1">
        <v>3.05478</v>
      </c>
      <c r="E55" s="1">
        <v>-0.0136183000000001</v>
      </c>
      <c r="F55" s="1">
        <v>-2.389</v>
      </c>
      <c r="G55" s="1">
        <v>-2.674</v>
      </c>
      <c r="H55" s="1">
        <v>-1.8222</v>
      </c>
      <c r="I55" s="1">
        <v>-2.4531</v>
      </c>
      <c r="J55" s="1">
        <v>0.8519</v>
      </c>
      <c r="K55" s="1">
        <v>4.749</v>
      </c>
      <c r="L55" s="1">
        <v>1</v>
      </c>
    </row>
    <row r="56" ht="18.75" spans="1:12">
      <c r="A56" s="5" t="s">
        <v>33</v>
      </c>
      <c r="B56" s="1" t="s">
        <v>13</v>
      </c>
      <c r="C56" s="1">
        <v>-0.0134145800000258</v>
      </c>
      <c r="D56" s="1">
        <v>3.38681</v>
      </c>
      <c r="E56" s="1">
        <v>-0.0259520999999996</v>
      </c>
      <c r="F56" s="1">
        <v>-2.373</v>
      </c>
      <c r="G56" s="1">
        <v>-2.6977</v>
      </c>
      <c r="H56" s="1">
        <v>-1.8462</v>
      </c>
      <c r="I56" s="1">
        <v>-2.4731</v>
      </c>
      <c r="J56" s="1">
        <v>0.8515</v>
      </c>
      <c r="K56" s="1">
        <v>4.757</v>
      </c>
      <c r="L56" s="1">
        <v>1</v>
      </c>
    </row>
    <row r="57" ht="18.75" spans="1:12">
      <c r="A57" s="5" t="s">
        <v>33</v>
      </c>
      <c r="B57" s="1" t="s">
        <v>14</v>
      </c>
      <c r="C57" s="1">
        <v>-0.0365797800000198</v>
      </c>
      <c r="D57" s="1">
        <v>3.4919</v>
      </c>
      <c r="E57" s="1">
        <v>-0.0178766999999995</v>
      </c>
      <c r="F57" s="1">
        <v>-2.37</v>
      </c>
      <c r="G57" s="1">
        <v>-2.7113</v>
      </c>
      <c r="H57" s="1">
        <v>-1.8598</v>
      </c>
      <c r="I57" s="1">
        <v>-2.4881</v>
      </c>
      <c r="J57" s="1">
        <v>0.8515</v>
      </c>
      <c r="K57" s="1">
        <v>4.762</v>
      </c>
      <c r="L57" s="1">
        <v>1</v>
      </c>
    </row>
    <row r="58" ht="18.75" spans="1:12">
      <c r="A58" s="5" t="s">
        <v>33</v>
      </c>
      <c r="B58" s="1" t="s">
        <v>15</v>
      </c>
      <c r="C58" s="1">
        <v>-0.0209054600000034</v>
      </c>
      <c r="D58" s="1">
        <v>3.46537</v>
      </c>
      <c r="E58" s="1">
        <v>-0.0247013000000003</v>
      </c>
      <c r="F58" s="1">
        <v>-2.372</v>
      </c>
      <c r="G58" s="1">
        <v>-2.7009</v>
      </c>
      <c r="H58" s="1">
        <v>-1.8468</v>
      </c>
      <c r="I58" s="1">
        <v>-2.4781</v>
      </c>
      <c r="J58" s="1">
        <v>0.8541</v>
      </c>
      <c r="K58" s="1">
        <v>4.759</v>
      </c>
      <c r="L58" s="1">
        <v>1</v>
      </c>
    </row>
    <row r="59" ht="18.75" spans="1:12">
      <c r="A59" s="5" t="s">
        <v>34</v>
      </c>
      <c r="B59" s="1" t="s">
        <v>13</v>
      </c>
      <c r="C59" s="1">
        <v>-0.0531814600000402</v>
      </c>
      <c r="D59" s="1">
        <v>2.82185</v>
      </c>
      <c r="E59" s="1">
        <v>-0.0353013000000004</v>
      </c>
      <c r="F59" s="1">
        <v>-0.761</v>
      </c>
      <c r="G59" s="1">
        <v>-2.5865</v>
      </c>
      <c r="H59" s="1">
        <v>-1.7399</v>
      </c>
      <c r="I59" s="1">
        <v>-2.3631</v>
      </c>
      <c r="J59" s="1">
        <v>0.8466</v>
      </c>
      <c r="K59" s="1">
        <v>4.729</v>
      </c>
      <c r="L59" s="1">
        <v>1</v>
      </c>
    </row>
    <row r="60" ht="18.75" spans="1:12">
      <c r="A60" s="5" t="s">
        <v>34</v>
      </c>
      <c r="B60" s="1" t="s">
        <v>14</v>
      </c>
      <c r="C60" s="1">
        <v>-0.048190680000026</v>
      </c>
      <c r="D60" s="1">
        <v>3.05683</v>
      </c>
      <c r="E60" s="1">
        <v>-0.0310829999999989</v>
      </c>
      <c r="F60" s="1">
        <v>-0.757</v>
      </c>
      <c r="G60" s="1">
        <v>-2.6102</v>
      </c>
      <c r="H60" s="1">
        <v>-1.7631</v>
      </c>
      <c r="I60" s="1">
        <v>-2.3881</v>
      </c>
      <c r="J60" s="1">
        <v>0.8471</v>
      </c>
      <c r="K60" s="1">
        <v>4.737</v>
      </c>
      <c r="L60" s="1">
        <v>1</v>
      </c>
    </row>
    <row r="61" ht="18.75" spans="1:12">
      <c r="A61" s="5" t="s">
        <v>34</v>
      </c>
      <c r="B61" s="1" t="s">
        <v>15</v>
      </c>
      <c r="C61" s="1">
        <v>-0.0622621600000102</v>
      </c>
      <c r="D61" s="1">
        <v>3.02282</v>
      </c>
      <c r="E61" s="1">
        <v>-0.0348182000000001</v>
      </c>
      <c r="F61" s="1">
        <v>-0.752</v>
      </c>
      <c r="G61" s="1">
        <v>-2.6041</v>
      </c>
      <c r="H61" s="1">
        <v>-1.7569</v>
      </c>
      <c r="I61" s="1">
        <v>-2.3831</v>
      </c>
      <c r="J61" s="1">
        <v>0.8472</v>
      </c>
      <c r="K61" s="1">
        <v>4.736</v>
      </c>
      <c r="L61" s="1">
        <v>1</v>
      </c>
    </row>
    <row r="62" ht="18.75" spans="1:12">
      <c r="A62" s="5" t="s">
        <v>35</v>
      </c>
      <c r="B62" s="1" t="s">
        <v>13</v>
      </c>
      <c r="C62" s="1">
        <v>-0.00946998000001997</v>
      </c>
      <c r="D62" s="1">
        <v>2.68312</v>
      </c>
      <c r="E62" s="1">
        <v>-0.0225307000000008</v>
      </c>
      <c r="F62" s="1">
        <v>-2.57</v>
      </c>
      <c r="G62" s="1">
        <v>-2.776</v>
      </c>
      <c r="H62" s="1">
        <v>-1.9233</v>
      </c>
      <c r="I62" s="1">
        <v>-2.5531</v>
      </c>
      <c r="J62" s="1">
        <v>0.8527</v>
      </c>
      <c r="K62" s="1">
        <v>4.902</v>
      </c>
      <c r="L62" s="1">
        <v>0</v>
      </c>
    </row>
    <row r="63" ht="18.75" spans="1:12">
      <c r="A63" s="5" t="s">
        <v>35</v>
      </c>
      <c r="B63" s="1" t="s">
        <v>14</v>
      </c>
      <c r="C63" s="1">
        <v>-0.0159446200000417</v>
      </c>
      <c r="D63" s="1">
        <v>2.92238</v>
      </c>
      <c r="E63" s="1">
        <v>-0.022530800000002</v>
      </c>
      <c r="F63" s="1">
        <v>-2.57</v>
      </c>
      <c r="G63" s="1">
        <v>-2.776</v>
      </c>
      <c r="H63" s="1">
        <v>-1.9233</v>
      </c>
      <c r="I63" s="1">
        <v>-2.5531</v>
      </c>
      <c r="J63" s="1">
        <v>0.8527</v>
      </c>
      <c r="K63" s="1">
        <v>4.902</v>
      </c>
      <c r="L63" s="1">
        <v>0</v>
      </c>
    </row>
    <row r="64" ht="18.75" spans="1:12">
      <c r="A64" s="5" t="s">
        <v>35</v>
      </c>
      <c r="B64" s="1" t="s">
        <v>15</v>
      </c>
      <c r="C64" s="1">
        <v>-0.0140661600000413</v>
      </c>
      <c r="D64" s="1">
        <v>2.73909</v>
      </c>
      <c r="E64" s="1">
        <v>-0.0214747000000024</v>
      </c>
      <c r="F64" s="1">
        <v>-2.572</v>
      </c>
      <c r="G64" s="1">
        <v>-2.7774</v>
      </c>
      <c r="H64" s="1">
        <v>-1.9221</v>
      </c>
      <c r="I64" s="1">
        <v>-2.5531</v>
      </c>
      <c r="J64" s="1">
        <v>0.8553</v>
      </c>
      <c r="K64" s="1">
        <v>4.901</v>
      </c>
      <c r="L64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"/>
  <sheetViews>
    <sheetView topLeftCell="A51" workbookViewId="0">
      <selection activeCell="J66" sqref="J66"/>
    </sheetView>
  </sheetViews>
  <sheetFormatPr defaultColWidth="9" defaultRowHeight="13.5" outlineLevelCol="5"/>
  <cols>
    <col min="1" max="1" width="11.5" customWidth="1"/>
    <col min="3" max="5" width="13.75" customWidth="1"/>
    <col min="6" max="6" width="12.625"/>
  </cols>
  <sheetData>
    <row r="1" ht="18.75" spans="1:6">
      <c r="A1" s="1"/>
      <c r="B1" s="1" t="s">
        <v>1</v>
      </c>
      <c r="D1" t="s">
        <v>36</v>
      </c>
      <c r="E1" t="s">
        <v>37</v>
      </c>
      <c r="F1" s="1" t="s">
        <v>2</v>
      </c>
    </row>
    <row r="2" ht="15" spans="1:6">
      <c r="A2" s="1" t="s">
        <v>38</v>
      </c>
      <c r="B2" s="1" t="s">
        <v>13</v>
      </c>
      <c r="C2" s="1">
        <v>-447.39071897</v>
      </c>
      <c r="D2">
        <v>-429.1556755</v>
      </c>
      <c r="E2">
        <v>-18.02535295</v>
      </c>
      <c r="F2">
        <f t="shared" ref="F2:F7" si="0">C2-D2-E2</f>
        <v>-0.209690520000052</v>
      </c>
    </row>
    <row r="3" ht="15" spans="1:6">
      <c r="A3" s="1"/>
      <c r="B3" s="1" t="s">
        <v>14</v>
      </c>
      <c r="C3" s="1">
        <v>-447.4205665</v>
      </c>
      <c r="D3">
        <v>-429.1556755</v>
      </c>
      <c r="E3">
        <v>-18.02535295</v>
      </c>
      <c r="F3">
        <f t="shared" si="0"/>
        <v>-0.239538050000036</v>
      </c>
    </row>
    <row r="4" ht="15" spans="1:6">
      <c r="A4" s="1"/>
      <c r="B4" s="1" t="s">
        <v>15</v>
      </c>
      <c r="C4" s="1">
        <v>-447.48226746</v>
      </c>
      <c r="D4">
        <v>-429.1556755</v>
      </c>
      <c r="E4">
        <v>-18.02535295</v>
      </c>
      <c r="F4">
        <f t="shared" si="0"/>
        <v>-0.301239010000032</v>
      </c>
    </row>
    <row r="5" ht="15" spans="1:6">
      <c r="A5" s="1" t="s">
        <v>39</v>
      </c>
      <c r="B5" s="1" t="s">
        <v>13</v>
      </c>
      <c r="C5" s="1">
        <v>-445.7780617</v>
      </c>
      <c r="D5">
        <v>-429.1556755</v>
      </c>
      <c r="E5">
        <v>-16.62919434</v>
      </c>
      <c r="F5">
        <f t="shared" si="0"/>
        <v>0.00680813999995067</v>
      </c>
    </row>
    <row r="6" ht="15" spans="1:6">
      <c r="A6" s="1"/>
      <c r="B6" s="1" t="s">
        <v>14</v>
      </c>
      <c r="C6" s="1">
        <v>-445.78303147</v>
      </c>
      <c r="D6">
        <v>-429.1556755</v>
      </c>
      <c r="E6">
        <v>-16.62919434</v>
      </c>
      <c r="F6">
        <f t="shared" si="0"/>
        <v>0.00183836999994824</v>
      </c>
    </row>
    <row r="7" ht="15" spans="1:6">
      <c r="A7" s="1"/>
      <c r="B7" s="1" t="s">
        <v>15</v>
      </c>
      <c r="C7" s="1">
        <v>-445.77724573</v>
      </c>
      <c r="D7">
        <v>-429.1556755</v>
      </c>
      <c r="E7">
        <v>-16.62919434</v>
      </c>
      <c r="F7">
        <f t="shared" si="0"/>
        <v>0.00762410999996987</v>
      </c>
    </row>
    <row r="8" ht="15" spans="1:6">
      <c r="A8" s="1" t="s">
        <v>17</v>
      </c>
      <c r="B8" s="1" t="s">
        <v>13</v>
      </c>
      <c r="C8">
        <v>-441.24957491</v>
      </c>
      <c r="D8">
        <v>-429.1556755</v>
      </c>
      <c r="E8">
        <v>-11.93715434</v>
      </c>
      <c r="F8">
        <f t="shared" ref="F8:F13" si="1">C8-D8-E8</f>
        <v>-0.156745070000007</v>
      </c>
    </row>
    <row r="9" ht="15" spans="1:6">
      <c r="A9" s="1"/>
      <c r="B9" s="1" t="s">
        <v>14</v>
      </c>
      <c r="C9">
        <v>-441.09748666</v>
      </c>
      <c r="D9">
        <v>-429.1556755</v>
      </c>
      <c r="E9">
        <v>-11.93715434</v>
      </c>
      <c r="F9">
        <f t="shared" si="1"/>
        <v>-0.00465682000004364</v>
      </c>
    </row>
    <row r="10" ht="15" spans="1:6">
      <c r="A10" s="1"/>
      <c r="B10" s="1" t="s">
        <v>15</v>
      </c>
      <c r="C10">
        <v>-441.14196303</v>
      </c>
      <c r="D10">
        <v>-429.1556755</v>
      </c>
      <c r="E10">
        <v>-11.93715434</v>
      </c>
      <c r="F10">
        <f t="shared" si="1"/>
        <v>-0.0491331900000276</v>
      </c>
    </row>
    <row r="11" ht="15" spans="1:6">
      <c r="A11" s="1" t="s">
        <v>40</v>
      </c>
      <c r="B11" s="1" t="s">
        <v>13</v>
      </c>
      <c r="C11">
        <v>-435.93103463</v>
      </c>
      <c r="D11">
        <v>-429.1556755</v>
      </c>
      <c r="E11">
        <v>-6.76647682</v>
      </c>
      <c r="F11">
        <f t="shared" si="1"/>
        <v>-0.00888231000002637</v>
      </c>
    </row>
    <row r="12" ht="15" spans="1:6">
      <c r="A12" s="1"/>
      <c r="B12" s="1" t="s">
        <v>14</v>
      </c>
      <c r="C12">
        <v>-435.92361795</v>
      </c>
      <c r="D12">
        <v>-429.1556755</v>
      </c>
      <c r="E12">
        <v>-6.76647682</v>
      </c>
      <c r="F12">
        <f t="shared" si="1"/>
        <v>-0.00146563000002065</v>
      </c>
    </row>
    <row r="13" ht="15" spans="1:6">
      <c r="A13" s="1"/>
      <c r="B13" s="1" t="s">
        <v>15</v>
      </c>
      <c r="C13">
        <v>-435.93001582</v>
      </c>
      <c r="D13">
        <v>-429.1556755</v>
      </c>
      <c r="E13">
        <v>-6.76647682</v>
      </c>
      <c r="F13">
        <f t="shared" si="1"/>
        <v>-0.00786350000002134</v>
      </c>
    </row>
    <row r="14" ht="15" spans="1:6">
      <c r="A14" s="1" t="s">
        <v>19</v>
      </c>
      <c r="B14" s="1" t="s">
        <v>13</v>
      </c>
      <c r="C14">
        <v>-443.93923703</v>
      </c>
      <c r="D14">
        <v>-429.1556755</v>
      </c>
      <c r="E14">
        <v>-14.78063525</v>
      </c>
      <c r="F14">
        <f t="shared" ref="F14:F19" si="2">C14-D14-E14</f>
        <v>-0.00292628000004314</v>
      </c>
    </row>
    <row r="15" ht="15" spans="1:6">
      <c r="A15" s="1"/>
      <c r="B15" s="1" t="s">
        <v>14</v>
      </c>
      <c r="C15">
        <v>-443.95414817</v>
      </c>
      <c r="D15">
        <v>-429.1556755</v>
      </c>
      <c r="E15">
        <v>-14.78063525</v>
      </c>
      <c r="F15">
        <f t="shared" si="2"/>
        <v>-0.0178374200000242</v>
      </c>
    </row>
    <row r="16" ht="15" spans="1:6">
      <c r="A16" s="1"/>
      <c r="B16" s="1" t="s">
        <v>15</v>
      </c>
      <c r="C16">
        <v>-443.93281453</v>
      </c>
      <c r="D16">
        <v>-429.1556755</v>
      </c>
      <c r="E16">
        <v>-14.78063525</v>
      </c>
      <c r="F16">
        <f t="shared" si="2"/>
        <v>0.00349621999999883</v>
      </c>
    </row>
    <row r="17" ht="15" spans="1:6">
      <c r="A17" s="1" t="s">
        <v>41</v>
      </c>
      <c r="B17" s="1" t="s">
        <v>13</v>
      </c>
      <c r="C17">
        <v>-448.72497115</v>
      </c>
      <c r="D17">
        <v>-429.1556755</v>
      </c>
      <c r="E17">
        <v>-19.53514556</v>
      </c>
      <c r="F17">
        <f t="shared" si="2"/>
        <v>-0.0341500900000149</v>
      </c>
    </row>
    <row r="18" ht="15" spans="1:6">
      <c r="A18" s="1"/>
      <c r="B18" s="1" t="s">
        <v>14</v>
      </c>
      <c r="C18">
        <v>-448.70906422</v>
      </c>
      <c r="D18">
        <v>-429.1556755</v>
      </c>
      <c r="E18">
        <v>-19.53514556</v>
      </c>
      <c r="F18">
        <f t="shared" si="2"/>
        <v>-0.0182431600000434</v>
      </c>
    </row>
    <row r="19" ht="15" spans="1:6">
      <c r="A19" s="1"/>
      <c r="B19" s="1" t="s">
        <v>15</v>
      </c>
      <c r="C19">
        <v>-448.72352836</v>
      </c>
      <c r="D19">
        <v>-429.1556755</v>
      </c>
      <c r="E19">
        <v>-19.53514556</v>
      </c>
      <c r="F19">
        <f t="shared" si="2"/>
        <v>-0.0327073000000162</v>
      </c>
    </row>
    <row r="20" ht="15" spans="1:6">
      <c r="A20" s="1" t="s">
        <v>42</v>
      </c>
      <c r="B20" s="1" t="s">
        <v>13</v>
      </c>
      <c r="C20" s="1">
        <v>-484.79308454</v>
      </c>
      <c r="D20">
        <v>-429.1556755</v>
      </c>
      <c r="E20" s="2">
        <v>-55.6135627</v>
      </c>
      <c r="F20">
        <f t="shared" ref="F20:F28" si="3">C20-D20-E20</f>
        <v>-0.0238463400000199</v>
      </c>
    </row>
    <row r="21" ht="15" spans="1:6">
      <c r="A21" s="1"/>
      <c r="B21" s="1" t="s">
        <v>14</v>
      </c>
      <c r="C21" s="1">
        <v>-484.79549926</v>
      </c>
      <c r="D21">
        <v>-429.1556755</v>
      </c>
      <c r="E21" s="2">
        <v>-55.6135627</v>
      </c>
      <c r="F21">
        <f t="shared" si="3"/>
        <v>-0.0262610600000102</v>
      </c>
    </row>
    <row r="22" ht="15" spans="1:6">
      <c r="A22" s="1"/>
      <c r="B22" s="1" t="s">
        <v>15</v>
      </c>
      <c r="C22" s="1">
        <v>-484.7917489</v>
      </c>
      <c r="D22">
        <v>-429.1556755</v>
      </c>
      <c r="E22" s="2">
        <v>-55.6135627</v>
      </c>
      <c r="F22">
        <f t="shared" si="3"/>
        <v>-0.0225107000000406</v>
      </c>
    </row>
    <row r="23" ht="15" spans="1:6">
      <c r="A23" s="1" t="s">
        <v>43</v>
      </c>
      <c r="B23" s="1" t="s">
        <v>13</v>
      </c>
      <c r="C23" s="1">
        <v>-516.88313477</v>
      </c>
      <c r="D23">
        <v>-429.1556755</v>
      </c>
      <c r="E23">
        <v>-87.63048416</v>
      </c>
      <c r="F23">
        <f t="shared" si="3"/>
        <v>-0.0969751100000025</v>
      </c>
    </row>
    <row r="24" ht="15" spans="1:6">
      <c r="A24" s="1"/>
      <c r="B24" s="1" t="s">
        <v>14</v>
      </c>
      <c r="C24" s="1">
        <v>-516.85719615</v>
      </c>
      <c r="D24">
        <v>-429.1556755</v>
      </c>
      <c r="E24">
        <v>-87.63048416</v>
      </c>
      <c r="F24">
        <f t="shared" si="3"/>
        <v>-0.0710364900000826</v>
      </c>
    </row>
    <row r="25" ht="15" spans="1:6">
      <c r="A25" s="1"/>
      <c r="B25" s="1" t="s">
        <v>15</v>
      </c>
      <c r="C25" s="1">
        <v>-516.86039784</v>
      </c>
      <c r="D25">
        <v>-429.1556755</v>
      </c>
      <c r="E25">
        <v>-87.63048416</v>
      </c>
      <c r="F25">
        <f t="shared" si="3"/>
        <v>-0.0742381800000516</v>
      </c>
    </row>
    <row r="26" ht="15" spans="1:6">
      <c r="A26" s="1" t="s">
        <v>44</v>
      </c>
      <c r="B26" s="1" t="s">
        <v>13</v>
      </c>
      <c r="C26">
        <v>-505.14689875</v>
      </c>
      <c r="D26">
        <v>-429.1556755</v>
      </c>
      <c r="E26">
        <v>-76.01074596</v>
      </c>
      <c r="F26">
        <f t="shared" si="3"/>
        <v>0.0195227099999755</v>
      </c>
    </row>
    <row r="27" ht="15" spans="1:6">
      <c r="A27" s="1"/>
      <c r="B27" s="1" t="s">
        <v>14</v>
      </c>
      <c r="C27">
        <v>-505.17240024</v>
      </c>
      <c r="D27">
        <v>-429.1556755</v>
      </c>
      <c r="E27">
        <v>-76.01074596</v>
      </c>
      <c r="F27">
        <f t="shared" si="3"/>
        <v>-0.00597878000003504</v>
      </c>
    </row>
    <row r="28" ht="15" spans="1:6">
      <c r="A28" s="1"/>
      <c r="B28" s="1" t="s">
        <v>15</v>
      </c>
      <c r="C28">
        <v>-505.1553172</v>
      </c>
      <c r="D28">
        <v>-429.1556755</v>
      </c>
      <c r="E28">
        <v>-76.01074596</v>
      </c>
      <c r="F28">
        <f t="shared" si="3"/>
        <v>0.0111042599999536</v>
      </c>
    </row>
    <row r="29" ht="15" spans="1:6">
      <c r="A29" s="1" t="s">
        <v>45</v>
      </c>
      <c r="B29" s="1" t="s">
        <v>13</v>
      </c>
      <c r="C29">
        <v>-459.41415031</v>
      </c>
      <c r="D29">
        <v>-429.1556755</v>
      </c>
      <c r="E29">
        <v>-30.20914485</v>
      </c>
      <c r="F29">
        <f t="shared" ref="F29:F64" si="4">C29-D29-E29</f>
        <v>-0.0493299600000512</v>
      </c>
    </row>
    <row r="30" ht="15" spans="1:6">
      <c r="A30" s="1"/>
      <c r="B30" s="1" t="s">
        <v>14</v>
      </c>
      <c r="C30">
        <v>-459.38476861</v>
      </c>
      <c r="D30">
        <v>-429.1556755</v>
      </c>
      <c r="E30">
        <v>-30.20914485</v>
      </c>
      <c r="F30">
        <f t="shared" si="4"/>
        <v>-0.0199482600000067</v>
      </c>
    </row>
    <row r="31" ht="15" spans="1:6">
      <c r="A31" s="1"/>
      <c r="B31" s="1" t="s">
        <v>15</v>
      </c>
      <c r="C31">
        <v>-459.41437835</v>
      </c>
      <c r="D31">
        <v>-429.1556755</v>
      </c>
      <c r="E31">
        <v>-30.20914485</v>
      </c>
      <c r="F31">
        <f t="shared" si="4"/>
        <v>-0.0495580000000189</v>
      </c>
    </row>
    <row r="32" ht="15" spans="1:6">
      <c r="A32" s="1" t="s">
        <v>46</v>
      </c>
      <c r="B32" s="1" t="s">
        <v>13</v>
      </c>
      <c r="C32">
        <v>-521.80377894</v>
      </c>
      <c r="D32">
        <v>-429.1556755</v>
      </c>
      <c r="E32">
        <v>-92.64751901</v>
      </c>
      <c r="F32">
        <f t="shared" si="4"/>
        <v>-0.000584430000060365</v>
      </c>
    </row>
    <row r="33" ht="15" spans="1:6">
      <c r="A33" s="1"/>
      <c r="B33" s="1" t="s">
        <v>14</v>
      </c>
      <c r="C33">
        <v>-521.81326017</v>
      </c>
      <c r="D33">
        <v>-429.1556755</v>
      </c>
      <c r="E33">
        <v>-92.64751901</v>
      </c>
      <c r="F33">
        <f t="shared" si="4"/>
        <v>-0.0100656600000661</v>
      </c>
    </row>
    <row r="34" ht="15" spans="1:6">
      <c r="A34" s="1"/>
      <c r="B34" s="1" t="s">
        <v>15</v>
      </c>
      <c r="C34">
        <v>-521.81497855</v>
      </c>
      <c r="D34">
        <v>-429.1556755</v>
      </c>
      <c r="E34">
        <v>-92.64751901</v>
      </c>
      <c r="F34">
        <f t="shared" si="4"/>
        <v>-0.0117840400000091</v>
      </c>
    </row>
    <row r="35" ht="15" spans="1:6">
      <c r="A35" s="1" t="s">
        <v>47</v>
      </c>
      <c r="B35" s="1" t="s">
        <v>13</v>
      </c>
      <c r="C35">
        <v>-468.29733013</v>
      </c>
      <c r="D35">
        <v>-429.1556755</v>
      </c>
      <c r="E35">
        <v>-39.11261272</v>
      </c>
      <c r="F35">
        <f t="shared" si="4"/>
        <v>-0.0290419100000037</v>
      </c>
    </row>
    <row r="36" ht="15" spans="1:6">
      <c r="A36" s="1"/>
      <c r="B36" s="1" t="s">
        <v>14</v>
      </c>
      <c r="C36">
        <v>-468.32727078</v>
      </c>
      <c r="D36">
        <v>-429.1556755</v>
      </c>
      <c r="E36">
        <v>-39.11261272</v>
      </c>
      <c r="F36">
        <f t="shared" si="4"/>
        <v>-0.0589825600000182</v>
      </c>
    </row>
    <row r="37" ht="15" spans="1:6">
      <c r="A37" s="1"/>
      <c r="B37" s="1" t="s">
        <v>15</v>
      </c>
      <c r="C37">
        <v>-468.33004553</v>
      </c>
      <c r="D37">
        <v>-429.1556755</v>
      </c>
      <c r="E37">
        <v>-39.11261272</v>
      </c>
      <c r="F37">
        <f t="shared" si="4"/>
        <v>-0.0617573100000328</v>
      </c>
    </row>
    <row r="38" ht="15" spans="1:6">
      <c r="A38" s="3" t="s">
        <v>48</v>
      </c>
      <c r="B38" s="1" t="s">
        <v>13</v>
      </c>
      <c r="C38">
        <v>-497.48465419</v>
      </c>
      <c r="D38">
        <v>-429.1556755</v>
      </c>
      <c r="E38">
        <v>-68.29564413</v>
      </c>
      <c r="F38">
        <f t="shared" si="4"/>
        <v>-0.0333345600000428</v>
      </c>
    </row>
    <row r="39" ht="15" spans="1:6">
      <c r="A39" s="3"/>
      <c r="B39" s="1" t="s">
        <v>14</v>
      </c>
      <c r="C39">
        <v>-497.50844081</v>
      </c>
      <c r="D39">
        <v>-429.1556755</v>
      </c>
      <c r="E39">
        <v>-68.29564413</v>
      </c>
      <c r="F39">
        <f t="shared" si="4"/>
        <v>-0.0571211800000526</v>
      </c>
    </row>
    <row r="40" ht="15" spans="1:6">
      <c r="A40" s="3"/>
      <c r="B40" s="1" t="s">
        <v>15</v>
      </c>
      <c r="C40">
        <v>-497.48709512</v>
      </c>
      <c r="D40">
        <v>-429.1556755</v>
      </c>
      <c r="E40">
        <v>-68.29564413</v>
      </c>
      <c r="F40">
        <f t="shared" si="4"/>
        <v>-0.0357754900000202</v>
      </c>
    </row>
    <row r="41" ht="15" spans="1:6">
      <c r="A41" s="3" t="s">
        <v>49</v>
      </c>
      <c r="B41" s="1" t="s">
        <v>13</v>
      </c>
      <c r="C41">
        <v>-448.26850089</v>
      </c>
      <c r="D41">
        <v>-429.1556755</v>
      </c>
      <c r="E41">
        <v>-19.15376028</v>
      </c>
      <c r="F41">
        <f t="shared" si="4"/>
        <v>0.0409348899999884</v>
      </c>
    </row>
    <row r="42" ht="15" spans="1:6">
      <c r="A42" s="3"/>
      <c r="B42" s="1" t="s">
        <v>14</v>
      </c>
      <c r="C42">
        <v>-448.29869891</v>
      </c>
      <c r="D42">
        <v>-429.1556755</v>
      </c>
      <c r="E42">
        <v>-19.15376028</v>
      </c>
      <c r="F42">
        <f t="shared" si="4"/>
        <v>0.0107368699999881</v>
      </c>
    </row>
    <row r="43" ht="15" spans="1:6">
      <c r="A43" s="3"/>
      <c r="B43" s="1" t="s">
        <v>15</v>
      </c>
      <c r="C43">
        <v>-448.27764274</v>
      </c>
      <c r="D43">
        <v>-429.1556755</v>
      </c>
      <c r="E43">
        <v>-19.15376028</v>
      </c>
      <c r="F43">
        <f t="shared" si="4"/>
        <v>0.0317930399999966</v>
      </c>
    </row>
    <row r="44" ht="15" spans="1:6">
      <c r="A44" s="3" t="s">
        <v>50</v>
      </c>
      <c r="B44" s="1" t="s">
        <v>13</v>
      </c>
      <c r="C44">
        <v>-449.9917187</v>
      </c>
      <c r="D44">
        <v>-429.1556755</v>
      </c>
      <c r="E44">
        <v>-20.83149944</v>
      </c>
      <c r="F44">
        <f t="shared" si="4"/>
        <v>-0.00454376000000423</v>
      </c>
    </row>
    <row r="45" ht="15" spans="1:6">
      <c r="A45" s="3"/>
      <c r="B45" s="1" t="s">
        <v>14</v>
      </c>
      <c r="C45">
        <v>-449.98581441</v>
      </c>
      <c r="D45">
        <v>-429.1556755</v>
      </c>
      <c r="E45">
        <v>-20.83149944</v>
      </c>
      <c r="F45">
        <f t="shared" si="4"/>
        <v>0.00136052999998526</v>
      </c>
    </row>
    <row r="46" ht="15" spans="1:6">
      <c r="A46" s="3"/>
      <c r="B46" s="1" t="s">
        <v>15</v>
      </c>
      <c r="C46">
        <v>-449.97565635</v>
      </c>
      <c r="D46">
        <v>-429.1556755</v>
      </c>
      <c r="E46">
        <v>-20.83149944</v>
      </c>
      <c r="F46">
        <f t="shared" si="4"/>
        <v>0.0115185899999659</v>
      </c>
    </row>
    <row r="47" ht="15" spans="1:6">
      <c r="A47" s="3" t="s">
        <v>51</v>
      </c>
      <c r="B47" s="1" t="s">
        <v>13</v>
      </c>
      <c r="C47">
        <v>-492.76200619</v>
      </c>
      <c r="D47">
        <v>-429.1556755</v>
      </c>
      <c r="E47">
        <v>-63.54698871</v>
      </c>
      <c r="F47">
        <f t="shared" si="4"/>
        <v>-0.059341980000049</v>
      </c>
    </row>
    <row r="48" ht="15" spans="1:6">
      <c r="A48" s="3"/>
      <c r="B48" s="1" t="s">
        <v>14</v>
      </c>
      <c r="C48">
        <v>-492.75925954</v>
      </c>
      <c r="D48">
        <v>-429.1556755</v>
      </c>
      <c r="E48">
        <v>-63.54698871</v>
      </c>
      <c r="F48">
        <f t="shared" si="4"/>
        <v>-0.056595330000043</v>
      </c>
    </row>
    <row r="49" ht="15" spans="1:6">
      <c r="A49" s="3"/>
      <c r="B49" s="1" t="s">
        <v>15</v>
      </c>
      <c r="C49">
        <v>-492.76826832</v>
      </c>
      <c r="D49">
        <v>-429.1556755</v>
      </c>
      <c r="E49">
        <v>-63.54698871</v>
      </c>
      <c r="F49">
        <f t="shared" si="4"/>
        <v>-0.0656041100000309</v>
      </c>
    </row>
    <row r="50" ht="15" spans="1:6">
      <c r="A50" s="1" t="s">
        <v>52</v>
      </c>
      <c r="B50" s="1" t="s">
        <v>13</v>
      </c>
      <c r="C50">
        <v>-452.12369444</v>
      </c>
      <c r="D50">
        <v>-429.1556755</v>
      </c>
      <c r="E50">
        <v>-22.96109565</v>
      </c>
      <c r="F50">
        <f t="shared" si="4"/>
        <v>-0.00692329000003511</v>
      </c>
    </row>
    <row r="51" ht="15" spans="1:6">
      <c r="A51" s="1"/>
      <c r="B51" s="1" t="s">
        <v>14</v>
      </c>
      <c r="C51">
        <v>-452.12855063</v>
      </c>
      <c r="D51">
        <v>-429.1556755</v>
      </c>
      <c r="E51">
        <v>-22.96109565</v>
      </c>
      <c r="F51">
        <f t="shared" si="4"/>
        <v>-0.0117794800000333</v>
      </c>
    </row>
    <row r="52" ht="15" spans="1:6">
      <c r="A52" s="1"/>
      <c r="B52" s="1" t="s">
        <v>15</v>
      </c>
      <c r="C52">
        <v>-452.10242025</v>
      </c>
      <c r="D52">
        <v>-429.1556755</v>
      </c>
      <c r="E52">
        <v>-22.96109565</v>
      </c>
      <c r="F52">
        <f t="shared" si="4"/>
        <v>0.0143508999999504</v>
      </c>
    </row>
    <row r="53" ht="15" spans="1:6">
      <c r="A53" s="1" t="s">
        <v>53</v>
      </c>
      <c r="B53" s="1" t="s">
        <v>13</v>
      </c>
      <c r="C53">
        <v>-443.44143122</v>
      </c>
      <c r="D53">
        <v>-429.1556755</v>
      </c>
      <c r="E53">
        <v>-14.21903979</v>
      </c>
      <c r="F53">
        <f t="shared" si="4"/>
        <v>-0.0667159300000542</v>
      </c>
    </row>
    <row r="54" ht="15" spans="1:6">
      <c r="A54" s="1"/>
      <c r="B54" s="1" t="s">
        <v>14</v>
      </c>
      <c r="C54">
        <v>-443.42427228</v>
      </c>
      <c r="D54">
        <v>-429.1556755</v>
      </c>
      <c r="E54">
        <v>-14.21903979</v>
      </c>
      <c r="F54">
        <f t="shared" si="4"/>
        <v>-0.0495569900000525</v>
      </c>
    </row>
    <row r="55" ht="15" spans="1:6">
      <c r="A55" s="1"/>
      <c r="B55" s="1" t="s">
        <v>15</v>
      </c>
      <c r="C55">
        <v>-443.42427901</v>
      </c>
      <c r="D55">
        <v>-429.1556755</v>
      </c>
      <c r="E55">
        <v>-14.21903979</v>
      </c>
      <c r="F55">
        <f t="shared" si="4"/>
        <v>-0.0495637200000481</v>
      </c>
    </row>
    <row r="56" ht="15" spans="1:6">
      <c r="A56" s="1" t="s">
        <v>54</v>
      </c>
      <c r="B56" s="1" t="s">
        <v>13</v>
      </c>
      <c r="C56">
        <v>-440.36819799</v>
      </c>
      <c r="D56">
        <v>-429.1556755</v>
      </c>
      <c r="E56">
        <v>-11.19910791</v>
      </c>
      <c r="F56">
        <f t="shared" si="4"/>
        <v>-0.0134145800000258</v>
      </c>
    </row>
    <row r="57" ht="15" spans="1:6">
      <c r="A57" s="1"/>
      <c r="B57" s="1" t="s">
        <v>14</v>
      </c>
      <c r="C57">
        <v>-440.39136319</v>
      </c>
      <c r="D57">
        <v>-429.1556755</v>
      </c>
      <c r="E57">
        <v>-11.19910791</v>
      </c>
      <c r="F57">
        <f t="shared" si="4"/>
        <v>-0.0365797800000198</v>
      </c>
    </row>
    <row r="58" ht="15" spans="1:6">
      <c r="A58" s="1"/>
      <c r="B58" s="1" t="s">
        <v>15</v>
      </c>
      <c r="C58">
        <v>-440.37568887</v>
      </c>
      <c r="D58">
        <v>-429.1556755</v>
      </c>
      <c r="E58">
        <v>-11.19910791</v>
      </c>
      <c r="F58">
        <f t="shared" si="4"/>
        <v>-0.0209054600000034</v>
      </c>
    </row>
    <row r="59" ht="15" spans="1:6">
      <c r="A59" s="1" t="s">
        <v>55</v>
      </c>
      <c r="B59" s="1" t="s">
        <v>13</v>
      </c>
      <c r="C59">
        <v>-485.16588602</v>
      </c>
      <c r="D59">
        <v>-429.1556755</v>
      </c>
      <c r="E59">
        <v>-55.95702906</v>
      </c>
      <c r="F59">
        <f t="shared" si="4"/>
        <v>-0.0531814600000402</v>
      </c>
    </row>
    <row r="60" ht="15" spans="1:6">
      <c r="A60" s="1"/>
      <c r="B60" s="1" t="s">
        <v>14</v>
      </c>
      <c r="C60">
        <v>-485.16089524</v>
      </c>
      <c r="D60">
        <v>-429.1556755</v>
      </c>
      <c r="E60">
        <v>-55.95702906</v>
      </c>
      <c r="F60">
        <f t="shared" si="4"/>
        <v>-0.048190680000026</v>
      </c>
    </row>
    <row r="61" ht="15" spans="1:6">
      <c r="A61" s="1"/>
      <c r="B61" s="1" t="s">
        <v>15</v>
      </c>
      <c r="C61">
        <v>-485.17496672</v>
      </c>
      <c r="D61">
        <v>-429.1556755</v>
      </c>
      <c r="E61">
        <v>-55.95702906</v>
      </c>
      <c r="F61">
        <f t="shared" si="4"/>
        <v>-0.0622621600000102</v>
      </c>
    </row>
    <row r="62" ht="15" spans="1:6">
      <c r="A62" s="1" t="s">
        <v>56</v>
      </c>
      <c r="B62" s="1" t="s">
        <v>13</v>
      </c>
      <c r="C62">
        <v>-476.04219056</v>
      </c>
      <c r="D62">
        <v>-429.1556755</v>
      </c>
      <c r="E62">
        <v>-46.87704508</v>
      </c>
      <c r="F62">
        <f t="shared" si="4"/>
        <v>-0.00946998000001997</v>
      </c>
    </row>
    <row r="63" ht="15" spans="1:6">
      <c r="A63" s="1"/>
      <c r="B63" s="1" t="s">
        <v>14</v>
      </c>
      <c r="C63">
        <v>-476.0486652</v>
      </c>
      <c r="D63">
        <v>-429.1556755</v>
      </c>
      <c r="E63">
        <v>-46.87704508</v>
      </c>
      <c r="F63">
        <f t="shared" si="4"/>
        <v>-0.0159446200000417</v>
      </c>
    </row>
    <row r="64" ht="15" spans="1:6">
      <c r="A64" s="1"/>
      <c r="B64" s="1" t="s">
        <v>15</v>
      </c>
      <c r="C64">
        <v>-476.04678674</v>
      </c>
      <c r="D64">
        <v>-429.1556755</v>
      </c>
      <c r="E64">
        <v>-46.87704508</v>
      </c>
      <c r="F64">
        <f t="shared" si="4"/>
        <v>-0.0140661600000413</v>
      </c>
    </row>
  </sheetData>
  <mergeCells count="21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3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吸附能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麒珺</cp:lastModifiedBy>
  <dcterms:created xsi:type="dcterms:W3CDTF">2023-05-12T11:15:00Z</dcterms:created>
  <dcterms:modified xsi:type="dcterms:W3CDTF">2025-11-03T10:12:52Z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BD454A1EC18F49E18C0E42A1387A5270_12</vt:lpwstr>
  </property>
</Properties>
</file>